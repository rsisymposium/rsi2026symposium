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chedule" sheetId="2" state="visible" r:id="rId2"/>
  </sheets>
  <definedNames>
    <definedName name="_xlnm._FilterDatabase" localSheetId="0" hidden="1">'Data'!$A$1:$H$101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1E293B"/>
      <sz val="16"/>
    </font>
    <font>
      <i val="1"/>
      <color rgb="0064748B"/>
      <sz val="10"/>
    </font>
    <font>
      <b val="1"/>
      <color rgb="00FFFFFF"/>
      <sz val="13"/>
    </font>
    <font>
      <b val="1"/>
      <color rgb="001E293B"/>
      <sz val="11"/>
    </font>
    <font>
      <b val="1"/>
    </font>
    <font>
      <b val="1"/>
      <sz val="9"/>
    </font>
    <font>
      <sz val="9"/>
    </font>
    <font>
      <b val="1"/>
      <i val="1"/>
      <color rgb="0092400E"/>
    </font>
  </fonts>
  <fills count="7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1E293B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/>
    </xf>
    <xf numFmtId="0" fontId="8" fillId="0" borderId="0" pivotButton="0" quotePrefix="0" xfId="0"/>
    <xf numFmtId="0" fontId="0" fillId="0" borderId="1" pivotButton="0" quotePrefix="0" xfId="0"/>
    <xf numFmtId="0" fontId="8" fillId="0" borderId="1" applyAlignment="1" pivotButton="0" quotePrefix="0" xfId="0">
      <alignment vertical="center" wrapText="1"/>
    </xf>
    <xf numFmtId="0" fontId="9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color rgb="001D4ED8"/>
        <sz val="9"/>
      </font>
      <fill>
        <patternFill patternType="solid">
          <fgColor rgb="00DBEAFE"/>
        </patternFill>
      </fill>
    </dxf>
    <dxf>
      <font>
        <color rgb="006D28D9"/>
        <sz val="9"/>
      </font>
      <fill>
        <patternFill patternType="solid">
          <fgColor rgb="00EDE9FE"/>
        </patternFill>
      </fill>
    </dxf>
    <dxf>
      <font>
        <color rgb="004338CA"/>
        <sz val="9"/>
      </font>
      <fill>
        <patternFill patternType="solid">
          <fgColor rgb="00E0E7FF"/>
        </patternFill>
      </fill>
    </dxf>
    <dxf>
      <font>
        <color rgb="000E7490"/>
        <sz val="9"/>
      </font>
      <fill>
        <patternFill patternType="solid">
          <fgColor rgb="00CFFAFE"/>
        </patternFill>
      </fill>
    </dxf>
    <dxf>
      <font>
        <color rgb="00C2410C"/>
        <sz val="9"/>
      </font>
      <fill>
        <patternFill patternType="solid">
          <fgColor rgb="00FFEDD5"/>
        </patternFill>
      </fill>
    </dxf>
    <dxf>
      <font>
        <color rgb="00B45309"/>
        <sz val="9"/>
      </font>
      <fill>
        <patternFill patternType="solid">
          <fgColor rgb="00FEF3C7"/>
        </patternFill>
      </fill>
    </dxf>
    <dxf>
      <font>
        <color rgb="00047857"/>
        <sz val="9"/>
      </font>
      <fill>
        <patternFill patternType="solid">
          <fgColor rgb="00D1FAE5"/>
        </patternFill>
      </fill>
    </dxf>
    <dxf>
      <font>
        <color rgb="00BE185D"/>
        <sz val="9"/>
      </font>
      <fill>
        <patternFill patternType="solid">
          <fgColor rgb="00FCE7F3"/>
        </patternFill>
      </fill>
    </dxf>
    <dxf>
      <font>
        <color rgb="000F766E"/>
        <sz val="9"/>
      </font>
      <fill>
        <patternFill patternType="solid">
          <fgColor rgb="00CCFBF1"/>
        </patternFill>
      </fill>
    </dxf>
    <dxf>
      <font>
        <color rgb="00BE123C"/>
        <sz val="9"/>
      </font>
      <fill>
        <patternFill patternType="solid">
          <fgColor rgb="00FFE4E6"/>
        </patternFill>
      </fill>
    </dxf>
    <dxf>
      <font>
        <color rgb="00475569"/>
        <sz val="9"/>
      </font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6" customWidth="1" min="2" max="2"/>
    <col width="26" customWidth="1" min="3" max="3"/>
    <col width="26" customWidth="1" min="4" max="4"/>
    <col width="20" customWidth="1" min="5" max="5"/>
    <col width="20" customWidth="1" min="6" max="6"/>
    <col width="22" customWidth="1" min="7" max="7"/>
    <col width="14" customWidth="1" min="8" max="8"/>
  </cols>
  <sheetData>
    <row r="1">
      <c r="A1" s="1" t="inlineStr">
        <is>
          <t>Full Name</t>
        </is>
      </c>
      <c r="B1" s="1" t="inlineStr">
        <is>
          <t>Title</t>
        </is>
      </c>
      <c r="C1" s="1" t="inlineStr">
        <is>
          <t>Mentor</t>
        </is>
      </c>
      <c r="D1" s="1" t="inlineStr">
        <is>
          <t>Field</t>
        </is>
      </c>
      <c r="E1" s="1" t="inlineStr">
        <is>
          <t>First Pron</t>
        </is>
      </c>
      <c r="F1" s="1" t="inlineStr">
        <is>
          <t>Last Pron</t>
        </is>
      </c>
      <c r="G1" s="1" t="inlineStr">
        <is>
          <t>Email</t>
        </is>
      </c>
      <c r="H1" s="1" t="inlineStr">
        <is>
          <t>Kerb</t>
        </is>
      </c>
    </row>
    <row r="2">
      <c r="A2" t="inlineStr">
        <is>
          <t>Aaryan Patel</t>
        </is>
      </c>
      <c r="B2" t="inlineStr">
        <is>
          <t>TailSeeker: Optimizing Molecular Structure Generation for Fibrodysplasia Ossificans Progressiva</t>
        </is>
      </c>
      <c r="C2" t="inlineStr">
        <is>
          <t>Prof. Gil Alterovitz</t>
        </is>
      </c>
      <c r="D2" t="inlineStr">
        <is>
          <t>Computer Science &amp; AI</t>
        </is>
      </c>
      <c r="E2" t="inlineStr">
        <is>
          <t>AR-ee-un</t>
        </is>
      </c>
      <c r="F2" t="inlineStr">
        <is>
          <t>puh-TELL</t>
        </is>
      </c>
      <c r="G2" t="inlineStr">
        <is>
          <t>aaru0302@mit.edu</t>
        </is>
      </c>
      <c r="H2" t="inlineStr">
        <is>
          <t>aaru0302</t>
        </is>
      </c>
    </row>
    <row r="3">
      <c r="A3" t="inlineStr">
        <is>
          <t>Abigail Qi</t>
        </is>
      </c>
      <c r="B3" t="inlineStr">
        <is>
          <t>Optimization of a Yeast-Based High-Throughput Screening Platform to Identify PfPDEγ Inhibitor Candidates</t>
        </is>
      </c>
      <c r="C3" t="inlineStr">
        <is>
          <t>Prof. Charles Hoffman</t>
        </is>
      </c>
      <c r="D3" t="inlineStr">
        <is>
          <t>Biology &amp; Medicine</t>
        </is>
      </c>
      <c r="E3" t="inlineStr">
        <is>
          <t>Abigail</t>
        </is>
      </c>
      <c r="F3" t="inlineStr">
        <is>
          <t>CHEE</t>
        </is>
      </c>
      <c r="G3" t="inlineStr">
        <is>
          <t>abihqi@mit.edu</t>
        </is>
      </c>
      <c r="H3" t="inlineStr">
        <is>
          <t>abihqi</t>
        </is>
      </c>
    </row>
    <row r="4">
      <c r="A4" t="inlineStr">
        <is>
          <t>Ahmed Sultan</t>
        </is>
      </c>
      <c r="B4" t="inlineStr">
        <is>
          <t>Characterizing Myo15-Cre Recombination in Cochlear Hair Cells to Validate Disease Models for Usher Syndrome Type 1F Gene Therapy​</t>
        </is>
      </c>
      <c r="C4" t="inlineStr">
        <is>
          <t>Dr. Artur A. Indzhykulian</t>
        </is>
      </c>
      <c r="D4" t="inlineStr">
        <is>
          <t>Biology &amp; Medicine</t>
        </is>
      </c>
      <c r="E4" t="inlineStr">
        <is>
          <t>AH-med</t>
        </is>
      </c>
      <c r="F4" t="inlineStr">
        <is>
          <t>SUL-tun</t>
        </is>
      </c>
      <c r="G4" t="inlineStr">
        <is>
          <t>a_sultan@mit.edu</t>
        </is>
      </c>
      <c r="H4" t="inlineStr">
        <is>
          <t>a_sultan</t>
        </is>
      </c>
    </row>
    <row r="5">
      <c r="A5" t="inlineStr">
        <is>
          <t>Alejandra Stephanie Perry</t>
        </is>
      </c>
      <c r="B5" t="inlineStr">
        <is>
          <t>Critical Windows for Neuromodulatory Recovery: Reversible UNC-31 Depletion in Caenorhabditis elegans Development</t>
        </is>
      </c>
      <c r="C5" t="inlineStr">
        <is>
          <t>Prof. Vivek Venkatachalam</t>
        </is>
      </c>
      <c r="D5" t="inlineStr">
        <is>
          <t>Biology &amp; Medicine</t>
        </is>
      </c>
      <c r="E5" t="inlineStr">
        <is>
          <t>ah-leh-HAHN-dra STEH-fah-NEE</t>
        </is>
      </c>
      <c r="F5" t="inlineStr">
        <is>
          <t>PAIR-ee</t>
        </is>
      </c>
      <c r="G5" t="inlineStr">
        <is>
          <t>asperry@mit.edu</t>
        </is>
      </c>
      <c r="H5" t="inlineStr">
        <is>
          <t>asperry</t>
        </is>
      </c>
    </row>
    <row r="6">
      <c r="A6" t="inlineStr">
        <is>
          <t>Alejandro Mayorga</t>
        </is>
      </c>
      <c r="B6" t="inlineStr">
        <is>
          <t>Liquid Foundation Models as Medical Assistants</t>
        </is>
      </c>
      <c r="C6" t="inlineStr">
        <is>
          <t>Dr. Bo Wu</t>
        </is>
      </c>
      <c r="D6" t="inlineStr">
        <is>
          <t>Computer Science &amp; AI</t>
        </is>
      </c>
      <c r="E6" t="inlineStr">
        <is>
          <t>ah-leh-HAHN-dro</t>
        </is>
      </c>
      <c r="F6" t="inlineStr">
        <is>
          <t>my-OR-ga</t>
        </is>
      </c>
      <c r="G6" t="inlineStr">
        <is>
          <t>alej0@mit.edu</t>
        </is>
      </c>
      <c r="H6" t="inlineStr">
        <is>
          <t>alej0</t>
        </is>
      </c>
    </row>
    <row r="7">
      <c r="A7" t="inlineStr">
        <is>
          <t>Alex Ren</t>
        </is>
      </c>
      <c r="B7" t="inlineStr">
        <is>
          <t>Investigating cognitive decline in HIV</t>
        </is>
      </c>
      <c r="C7" t="inlineStr">
        <is>
          <t>Prof. Manolis Kellis</t>
        </is>
      </c>
      <c r="D7" t="inlineStr">
        <is>
          <t>Biology &amp; Medicine</t>
        </is>
      </c>
      <c r="E7" t="inlineStr">
        <is>
          <t>AL-ex</t>
        </is>
      </c>
      <c r="F7" t="inlineStr">
        <is>
          <t>REN</t>
        </is>
      </c>
      <c r="G7" t="inlineStr">
        <is>
          <t>alexren@mit.edu</t>
        </is>
      </c>
      <c r="H7" t="inlineStr">
        <is>
          <t>alexren</t>
        </is>
      </c>
    </row>
    <row r="8">
      <c r="A8" t="inlineStr">
        <is>
          <t>Alexis Cho</t>
        </is>
      </c>
      <c r="B8" t="inlineStr">
        <is>
          <t>(Title TBD)</t>
        </is>
      </c>
      <c r="C8" t="inlineStr">
        <is>
          <t>Prof. Susan Hagen, Dr. Xu Xu</t>
        </is>
      </c>
      <c r="D8" t="inlineStr">
        <is>
          <t>Biology &amp; Medicine</t>
        </is>
      </c>
      <c r="E8" t="inlineStr">
        <is>
          <t>ah-LEX-is</t>
        </is>
      </c>
      <c r="F8" t="inlineStr">
        <is>
          <t>CHOH</t>
        </is>
      </c>
      <c r="G8" t="inlineStr">
        <is>
          <t>alexicho@mit.edu</t>
        </is>
      </c>
      <c r="H8" t="inlineStr">
        <is>
          <t>alexicho</t>
        </is>
      </c>
    </row>
    <row r="9">
      <c r="A9" t="inlineStr">
        <is>
          <t>Amogh Dattatri</t>
        </is>
      </c>
      <c r="B9" t="inlineStr">
        <is>
          <t>Dissecting the effects of non-coding genetic variation on neuropsychiatric disorder susceptibility</t>
        </is>
      </c>
      <c r="C9" t="inlineStr">
        <is>
          <t>Prof. Manolis Kellis</t>
        </is>
      </c>
      <c r="D9" t="inlineStr">
        <is>
          <t>Biology &amp; Medicine</t>
        </is>
      </c>
      <c r="E9" t="inlineStr">
        <is>
          <t>ah-MOHG</t>
        </is>
      </c>
      <c r="F9" t="inlineStr">
        <is>
          <t>DAH-tah-tree</t>
        </is>
      </c>
      <c r="G9" t="inlineStr">
        <is>
          <t>amogh28@mit.edu</t>
        </is>
      </c>
      <c r="H9" t="inlineStr">
        <is>
          <t>amogh28</t>
        </is>
      </c>
    </row>
    <row r="10">
      <c r="A10" t="inlineStr">
        <is>
          <t>Amritha Praveen</t>
        </is>
      </c>
      <c r="B10" t="inlineStr">
        <is>
          <t>Analyzing the Correlation of SBayesRC Calculated Weights for Polygenic Risk Scores and Body Mass Index</t>
        </is>
      </c>
      <c r="C10" t="inlineStr">
        <is>
          <t>Dr. Buu Truong</t>
        </is>
      </c>
      <c r="D10" t="inlineStr">
        <is>
          <t>Biology &amp; Medicine</t>
        </is>
      </c>
      <c r="E10" t="inlineStr">
        <is>
          <t>um-REE-tha</t>
        </is>
      </c>
      <c r="F10" t="inlineStr">
        <is>
          <t>pra-VEEN</t>
        </is>
      </c>
      <c r="G10" t="inlineStr">
        <is>
          <t>amritha9@mit.edu</t>
        </is>
      </c>
      <c r="H10" t="inlineStr">
        <is>
          <t>amritha9</t>
        </is>
      </c>
    </row>
    <row r="11">
      <c r="A11" t="inlineStr">
        <is>
          <t>Andy Jo</t>
        </is>
      </c>
      <c r="B11" t="inlineStr">
        <is>
          <t>Affine-Normalized Geometry of Protein Ensembles</t>
        </is>
      </c>
      <c r="C11" t="inlineStr">
        <is>
          <t>Prof. Gil Alterovitz</t>
        </is>
      </c>
      <c r="D11" t="inlineStr">
        <is>
          <t>Biology &amp; Medicine</t>
        </is>
      </c>
      <c r="E11" t="inlineStr">
        <is>
          <t>AN-dee</t>
        </is>
      </c>
      <c r="F11" t="inlineStr">
        <is>
          <t>JOH</t>
        </is>
      </c>
      <c r="G11" t="inlineStr">
        <is>
          <t>minkyujo@mit.edu</t>
        </is>
      </c>
      <c r="H11" t="inlineStr">
        <is>
          <t>minkyujo</t>
        </is>
      </c>
    </row>
    <row r="12">
      <c r="A12" t="inlineStr">
        <is>
          <t>Annika Chadha</t>
        </is>
      </c>
      <c r="B12" t="inlineStr">
        <is>
          <t>Reproducing the Energy Landscape of Nanoparticle-Induced Lipid Membrane Deformation</t>
        </is>
      </c>
      <c r="C12" t="inlineStr">
        <is>
          <t>Prof. Maggie Qi, Shu Yang</t>
        </is>
      </c>
      <c r="D12" t="inlineStr">
        <is>
          <t>Chemistry &amp; Materials</t>
        </is>
      </c>
      <c r="E12" t="inlineStr">
        <is>
          <t>AH-nih-kah</t>
        </is>
      </c>
      <c r="F12" t="inlineStr">
        <is>
          <t>CHAH-dah</t>
        </is>
      </c>
      <c r="G12" t="inlineStr">
        <is>
          <t>annika8@mit.edu</t>
        </is>
      </c>
      <c r="H12" t="inlineStr">
        <is>
          <t>annika8</t>
        </is>
      </c>
    </row>
    <row r="13">
      <c r="A13" t="inlineStr">
        <is>
          <t>Anushka Tonapi</t>
        </is>
      </c>
      <c r="B13" t="inlineStr">
        <is>
          <t>On Counting Prime Solutions to Quadratic Forms via the Hardy-Littlewood Circle Method</t>
        </is>
      </c>
      <c r="C13" t="inlineStr">
        <is>
          <t>Siqi Wu</t>
        </is>
      </c>
      <c r="D13" t="inlineStr">
        <is>
          <t>Math</t>
        </is>
      </c>
      <c r="E13" t="inlineStr">
        <is>
          <t>ah-NOOSH-kah</t>
        </is>
      </c>
      <c r="F13" t="inlineStr">
        <is>
          <t>toh-NAH-pee</t>
        </is>
      </c>
      <c r="G13" t="inlineStr">
        <is>
          <t>avtonapi@mit.edu</t>
        </is>
      </c>
      <c r="H13" t="inlineStr">
        <is>
          <t>avtonapi</t>
        </is>
      </c>
    </row>
    <row r="14">
      <c r="A14" t="inlineStr">
        <is>
          <t>Asher Wang</t>
        </is>
      </c>
      <c r="B14" t="inlineStr">
        <is>
          <t>Sinusoidal Representation Networks for Neural Renormalization-Group Flows on the1D and 2D Ising Models</t>
        </is>
      </c>
      <c r="C14" t="inlineStr">
        <is>
          <t>Dr. Howard Chen</t>
        </is>
      </c>
      <c r="D14" t="inlineStr">
        <is>
          <t>Physics</t>
        </is>
      </c>
      <c r="E14" t="inlineStr">
        <is>
          <t>ASH-er</t>
        </is>
      </c>
      <c r="F14" t="inlineStr">
        <is>
          <t>WONG</t>
        </is>
      </c>
      <c r="G14" t="inlineStr">
        <is>
          <t>aowang11@mit.edu</t>
        </is>
      </c>
      <c r="H14" t="inlineStr">
        <is>
          <t>aowang11</t>
        </is>
      </c>
    </row>
    <row r="15">
      <c r="A15" t="inlineStr">
        <is>
          <t>Atharva Tyagi</t>
        </is>
      </c>
      <c r="B15" t="inlineStr">
        <is>
          <t>Temporal Mapping of Doxorubicin-Induced Alterations in Autophagic Flux in hiPSC-Derived Cardiomyocytes</t>
        </is>
      </c>
      <c r="C15" t="inlineStr">
        <is>
          <t>Prof. Pierre F.J Lermusiaux</t>
        </is>
      </c>
      <c r="D15" t="inlineStr">
        <is>
          <t>Biology &amp; Medicine</t>
        </is>
      </c>
      <c r="E15" t="inlineStr">
        <is>
          <t>ah-TAR-vah</t>
        </is>
      </c>
      <c r="F15" t="inlineStr">
        <is>
          <t>tee-AH-ghee</t>
        </is>
      </c>
      <c r="G15" t="inlineStr">
        <is>
          <t>a1wang@mit.edu</t>
        </is>
      </c>
      <c r="H15" t="inlineStr">
        <is>
          <t>a1wang</t>
        </is>
      </c>
    </row>
    <row r="16">
      <c r="A16" t="inlineStr">
        <is>
          <t>Avery Wang</t>
        </is>
      </c>
      <c r="B16" t="inlineStr">
        <is>
          <t>Navier–Stokes Characteristic Boundary Conditions for Limited-Area Numerical Weather Prediction</t>
        </is>
      </c>
      <c r="C16" t="inlineStr">
        <is>
          <t>Prof. Peter Lu, Oreoluwa Alao</t>
        </is>
      </c>
      <c r="D16" t="inlineStr">
        <is>
          <t>Earth, Ocean &amp; Climate</t>
        </is>
      </c>
      <c r="E16" t="inlineStr">
        <is>
          <t>AY-vuh-ree</t>
        </is>
      </c>
      <c r="F16" t="inlineStr">
        <is>
          <t>WONG</t>
        </is>
      </c>
      <c r="G16" t="inlineStr">
        <is>
          <t>atyagi11@mit.edu</t>
        </is>
      </c>
      <c r="H16" t="inlineStr">
        <is>
          <t>atyagi11</t>
        </is>
      </c>
    </row>
    <row r="17">
      <c r="A17" t="inlineStr">
        <is>
          <t>Ayush Vispute</t>
        </is>
      </c>
      <c r="B17" t="inlineStr">
        <is>
          <t>Optimizing Quasi Geostrophic Flow Solving An Embedded Neural Network</t>
        </is>
      </c>
      <c r="C17" t="inlineStr">
        <is>
          <t>Prof. Pierre F.J Lermusiaux</t>
        </is>
      </c>
      <c r="D17" t="inlineStr">
        <is>
          <t>Earth, Ocean &amp; Climate</t>
        </is>
      </c>
      <c r="E17" t="inlineStr">
        <is>
          <t>AH-yoosh</t>
        </is>
      </c>
      <c r="F17" t="inlineStr">
        <is>
          <t>VIS-poo-teh</t>
        </is>
      </c>
      <c r="G17" t="inlineStr">
        <is>
          <t>avispute@mit.edu</t>
        </is>
      </c>
      <c r="H17" t="inlineStr">
        <is>
          <t>avispute</t>
        </is>
      </c>
    </row>
    <row r="18">
      <c r="A18" t="inlineStr">
        <is>
          <t>Azaria Tsegaye</t>
        </is>
      </c>
      <c r="B18" t="inlineStr">
        <is>
          <t>Observing Landau Levels in Simulated Strained Graphene</t>
        </is>
      </c>
      <c r="C18" t="inlineStr">
        <is>
          <t>Prof. Jenny Hoffman, Sarah Ziegler</t>
        </is>
      </c>
      <c r="D18" t="inlineStr">
        <is>
          <t>Physics</t>
        </is>
      </c>
      <c r="E18" t="inlineStr">
        <is>
          <t>ah-ZAR-ee-ah</t>
        </is>
      </c>
      <c r="F18" t="inlineStr">
        <is>
          <t>tsuh-GAH-yeh</t>
        </is>
      </c>
      <c r="G18" t="inlineStr">
        <is>
          <t>azariart@mit.edu</t>
        </is>
      </c>
      <c r="H18" t="inlineStr">
        <is>
          <t>azariart</t>
        </is>
      </c>
    </row>
    <row r="19">
      <c r="A19" t="inlineStr">
        <is>
          <t>Benson Hsueh</t>
        </is>
      </c>
      <c r="B19" t="inlineStr">
        <is>
          <t>The Center Configuration Problem for Single-Robot Reconfiguration</t>
        </is>
      </c>
      <c r="C19" t="inlineStr">
        <is>
          <t>Timothy Gomez</t>
        </is>
      </c>
      <c r="D19" t="inlineStr">
        <is>
          <t>Computer Science &amp; AI</t>
        </is>
      </c>
      <c r="E19" t="inlineStr">
        <is>
          <t>BEN-sun</t>
        </is>
      </c>
      <c r="F19" t="inlineStr">
        <is>
          <t>SHWAY</t>
        </is>
      </c>
      <c r="G19" t="inlineStr">
        <is>
          <t>bensonh@mit.edu</t>
        </is>
      </c>
      <c r="H19" t="inlineStr">
        <is>
          <t>bensonh</t>
        </is>
      </c>
    </row>
    <row r="20">
      <c r="A20" t="inlineStr">
        <is>
          <t>Bryan Cho</t>
        </is>
      </c>
      <c r="B20" t="inlineStr">
        <is>
          <t>Parametric study of regime transitions in quasi-turbulence</t>
        </is>
      </c>
      <c r="C20" t="inlineStr">
        <is>
          <t>Prof. Pierre F.J Lermusiaux</t>
        </is>
      </c>
      <c r="D20" t="inlineStr">
        <is>
          <t>Earth, Ocean &amp; Climate</t>
        </is>
      </c>
      <c r="E20" t="inlineStr">
        <is>
          <t>BRY-un</t>
        </is>
      </c>
      <c r="F20" t="inlineStr">
        <is>
          <t>CHOH</t>
        </is>
      </c>
      <c r="G20" t="inlineStr">
        <is>
          <t>cho0707@mit.edu</t>
        </is>
      </c>
      <c r="H20" t="inlineStr">
        <is>
          <t>cho0707</t>
        </is>
      </c>
    </row>
    <row r="21">
      <c r="A21" t="inlineStr">
        <is>
          <t>Can Nalbantoglu</t>
        </is>
      </c>
      <c r="B21" t="inlineStr">
        <is>
          <t>Schrodinger Bridges for Graph Interpolations</t>
        </is>
      </c>
      <c r="C21" t="inlineStr">
        <is>
          <t>Prof. Justin Solomon</t>
        </is>
      </c>
      <c r="D21" t="inlineStr">
        <is>
          <t>Computer Science &amp; AI</t>
        </is>
      </c>
      <c r="E21" t="inlineStr">
        <is>
          <t>JOHN</t>
        </is>
      </c>
      <c r="F21" t="inlineStr">
        <is>
          <t>nal-BAN-toh-loo</t>
        </is>
      </c>
      <c r="G21" t="inlineStr">
        <is>
          <t>can_nlbt@mit.edu</t>
        </is>
      </c>
      <c r="H21" t="inlineStr">
        <is>
          <t>can_nlbt</t>
        </is>
      </c>
    </row>
    <row r="22">
      <c r="A22" t="inlineStr">
        <is>
          <t>Cassidy Stocker</t>
        </is>
      </c>
      <c r="B22" t="inlineStr">
        <is>
          <t>Effect of ZAP70 Mutations on CAR T-Cell Effectiveness Targeting GD2 in Brain Tumors</t>
        </is>
      </c>
      <c r="C22" t="inlineStr">
        <is>
          <t>Dr. Robbie G. Majzner</t>
        </is>
      </c>
      <c r="D22" t="inlineStr">
        <is>
          <t>Biology &amp; Medicine</t>
        </is>
      </c>
      <c r="E22" t="inlineStr">
        <is>
          <t>KAS-ih-dee</t>
        </is>
      </c>
      <c r="F22" t="inlineStr">
        <is>
          <t>STOK-er</t>
        </is>
      </c>
      <c r="G22" t="inlineStr">
        <is>
          <t>mariac08@mit.edu</t>
        </is>
      </c>
      <c r="H22" t="inlineStr">
        <is>
          <t>mariac08</t>
        </is>
      </c>
    </row>
    <row r="23">
      <c r="A23" t="inlineStr">
        <is>
          <t>Chloe Giglio</t>
        </is>
      </c>
      <c r="B23" t="inlineStr">
        <is>
          <t>Mapping the transcriptional and phenotypic heterogeneity of lung adenocarcinoma progression</t>
        </is>
      </c>
      <c r="C23" t="inlineStr">
        <is>
          <t>Prof. Manolis Kellis</t>
        </is>
      </c>
      <c r="D23" t="inlineStr">
        <is>
          <t>Biology &amp; Medicine</t>
        </is>
      </c>
      <c r="E23" t="inlineStr">
        <is>
          <t>KLOH-ee</t>
        </is>
      </c>
      <c r="F23" t="inlineStr">
        <is>
          <t>JIH-lee-oh</t>
        </is>
      </c>
      <c r="G23" t="inlineStr">
        <is>
          <t>chloegig@mit.edu</t>
        </is>
      </c>
      <c r="H23" t="inlineStr">
        <is>
          <t>chloegig</t>
        </is>
      </c>
    </row>
    <row r="24">
      <c r="A24" t="inlineStr">
        <is>
          <t>Claire Zhan</t>
        </is>
      </c>
      <c r="B24" t="inlineStr">
        <is>
          <t>Efficient Patching for Generative Super Resolution of Turbulent Flow Fields</t>
        </is>
      </c>
      <c r="C24" t="inlineStr">
        <is>
          <t>Prof. Pierre F.J Lermusiaux</t>
        </is>
      </c>
      <c r="D24" t="inlineStr">
        <is>
          <t>Earth, Ocean &amp; Climate</t>
        </is>
      </c>
      <c r="E24" t="inlineStr">
        <is>
          <t>KLAIR</t>
        </is>
      </c>
      <c r="F24" t="inlineStr">
        <is>
          <t>JAHN</t>
        </is>
      </c>
      <c r="G24" t="inlineStr">
        <is>
          <t>cfyzhan@mit.edu</t>
        </is>
      </c>
      <c r="H24" t="inlineStr">
        <is>
          <t>cfyzhan</t>
        </is>
      </c>
    </row>
    <row r="25">
      <c r="A25" t="inlineStr">
        <is>
          <t>Cooper Ho</t>
        </is>
      </c>
      <c r="B25" t="inlineStr">
        <is>
          <t>Detecting Long-Transit Exoplanets via Better Detrending TESS Light Curves</t>
        </is>
      </c>
      <c r="C25" t="inlineStr">
        <is>
          <t>Katharine Hesse</t>
        </is>
      </c>
      <c r="D25" t="inlineStr">
        <is>
          <t>Astronomy &amp; Planetary Science</t>
        </is>
      </c>
      <c r="E25" t="inlineStr">
        <is>
          <t>KOO-per</t>
        </is>
      </c>
      <c r="F25" t="inlineStr">
        <is>
          <t>HOH</t>
        </is>
      </c>
      <c r="G25" t="inlineStr">
        <is>
          <t>cyh@mit.edu</t>
        </is>
      </c>
      <c r="H25" t="inlineStr">
        <is>
          <t>cyh</t>
        </is>
      </c>
    </row>
    <row r="26">
      <c r="A26" t="inlineStr">
        <is>
          <t>Daniel Guo</t>
        </is>
      </c>
      <c r="B26" t="inlineStr">
        <is>
          <t>Improving the Reliability of Hypersonic Airplane Engines Through Bleed Configurations</t>
        </is>
      </c>
      <c r="C26" t="inlineStr">
        <is>
          <t>Prof. Wesley L. Harris</t>
        </is>
      </c>
      <c r="D26" t="inlineStr">
        <is>
          <t>Engineering</t>
        </is>
      </c>
      <c r="E26" t="inlineStr">
        <is>
          <t>DAN-yul</t>
        </is>
      </c>
      <c r="F26" t="inlineStr">
        <is>
          <t>GWOH</t>
        </is>
      </c>
      <c r="G26" t="inlineStr">
        <is>
          <t>dguo103@mit.edu</t>
        </is>
      </c>
      <c r="H26" t="inlineStr">
        <is>
          <t>dguo103</t>
        </is>
      </c>
    </row>
    <row r="27">
      <c r="A27" t="inlineStr">
        <is>
          <t>Danu Kim</t>
        </is>
      </c>
      <c r="B27" t="inlineStr">
        <is>
          <t>The Feedback Horizon: When Physical Foreknowledge Becomes Decisive in Robotic Manipulation</t>
        </is>
      </c>
      <c r="C27" t="inlineStr">
        <is>
          <t>Prof. Chuchu Fan</t>
        </is>
      </c>
      <c r="D27" t="inlineStr">
        <is>
          <t>Computer Science &amp; AI</t>
        </is>
      </c>
      <c r="E27" t="inlineStr">
        <is>
          <t>Dan-you (like "Daniel")</t>
        </is>
      </c>
      <c r="F27" t="inlineStr">
        <is>
          <t>KIM</t>
        </is>
      </c>
      <c r="G27" t="inlineStr">
        <is>
          <t>dkim081@mit.edu</t>
        </is>
      </c>
      <c r="H27" t="inlineStr">
        <is>
          <t>dkim081</t>
        </is>
      </c>
    </row>
    <row r="28">
      <c r="A28" t="inlineStr">
        <is>
          <t>David Shi</t>
        </is>
      </c>
      <c r="B28" t="inlineStr">
        <is>
          <t>The Grammar of Natural Systems: Compositional Material Design Across Scales</t>
        </is>
      </c>
      <c r="C28" t="inlineStr">
        <is>
          <t>Prof. Markus Buehler</t>
        </is>
      </c>
      <c r="D28" t="inlineStr">
        <is>
          <t>Chemistry &amp; Materials</t>
        </is>
      </c>
      <c r="E28" t="inlineStr">
        <is>
          <t>DAY-vid</t>
        </is>
      </c>
      <c r="F28" t="inlineStr">
        <is>
          <t>SHIR</t>
        </is>
      </c>
      <c r="G28" t="inlineStr">
        <is>
          <t>davidw09@mit.edu</t>
        </is>
      </c>
      <c r="H28" t="inlineStr">
        <is>
          <t>davidw09</t>
        </is>
      </c>
    </row>
    <row r="29">
      <c r="A29" t="inlineStr">
        <is>
          <t>David Wang</t>
        </is>
      </c>
      <c r="B29" t="inlineStr">
        <is>
          <t>Predicting Peptide Self-Assembly Phase from LLM Extracted Experimental Conditions</t>
        </is>
      </c>
      <c r="C29" t="inlineStr">
        <is>
          <t>Prof. Markus Buehler</t>
        </is>
      </c>
      <c r="D29" t="inlineStr">
        <is>
          <t>Chemistry &amp; Materials</t>
        </is>
      </c>
      <c r="E29" t="inlineStr">
        <is>
          <t>DAY-vid</t>
        </is>
      </c>
      <c r="F29" t="inlineStr">
        <is>
          <t>WONG</t>
        </is>
      </c>
      <c r="G29" t="inlineStr">
        <is>
          <t>dashii@mit.edu</t>
        </is>
      </c>
      <c r="H29" t="inlineStr">
        <is>
          <t>dashii</t>
        </is>
      </c>
    </row>
    <row r="30">
      <c r="A30" t="inlineStr">
        <is>
          <t>Dex Theisen</t>
        </is>
      </c>
      <c r="B30" t="inlineStr">
        <is>
          <t>Understanding the Influence of Receptor Transport on Nanoparticle-Cell-Membrane Interactions</t>
        </is>
      </c>
      <c r="C30" t="inlineStr">
        <is>
          <t>Prof. Maggie Qi, Shu Yang</t>
        </is>
      </c>
      <c r="D30" t="inlineStr">
        <is>
          <t>Chemistry &amp; Materials</t>
        </is>
      </c>
      <c r="E30" t="inlineStr">
        <is>
          <t>DEX</t>
        </is>
      </c>
      <c r="F30" t="inlineStr">
        <is>
          <t>THY-zen</t>
        </is>
      </c>
      <c r="G30" t="inlineStr">
        <is>
          <t>dtheisen@mit.edu</t>
        </is>
      </c>
      <c r="H30" t="inlineStr">
        <is>
          <t>dtheisen</t>
        </is>
      </c>
    </row>
    <row r="31">
      <c r="A31" t="inlineStr">
        <is>
          <t>Dhruv Jain</t>
        </is>
      </c>
      <c r="B31" t="inlineStr">
        <is>
          <t>Structure Analysis using Partial Grotrian Diagram Construction and Isotope-Shift Systematics of Pa I,II,IV,V and Statistical Synthesis of Comagnetometer Constants</t>
        </is>
      </c>
      <c r="C31" t="inlineStr">
        <is>
          <t>Dr. Prajwal T. Mohan Murthy</t>
        </is>
      </c>
      <c r="D31" t="inlineStr">
        <is>
          <t>Physics</t>
        </is>
      </c>
      <c r="E31" t="inlineStr">
        <is>
          <t>DROOV</t>
        </is>
      </c>
      <c r="F31" t="inlineStr">
        <is>
          <t>Jeyn</t>
        </is>
      </c>
      <c r="G31" t="inlineStr">
        <is>
          <t>dhruvj07@mit.edu</t>
        </is>
      </c>
      <c r="H31" t="inlineStr">
        <is>
          <t>dhruvj07</t>
        </is>
      </c>
    </row>
    <row r="32">
      <c r="A32" t="inlineStr">
        <is>
          <t>Diya Gandhi</t>
        </is>
      </c>
      <c r="B32" t="inlineStr">
        <is>
          <t>The Effect of Mergers on the Generic Drug Market</t>
        </is>
      </c>
      <c r="C32" t="inlineStr">
        <is>
          <t>Dr. Aaron Kesselheim</t>
        </is>
      </c>
      <c r="D32" t="inlineStr">
        <is>
          <t>Economics &amp; Policy</t>
        </is>
      </c>
      <c r="E32" t="inlineStr">
        <is>
          <t>DEE-yah</t>
        </is>
      </c>
      <c r="F32" t="inlineStr">
        <is>
          <t>GAHN-dee</t>
        </is>
      </c>
      <c r="G32" t="inlineStr">
        <is>
          <t>dagandhi@mit.edu</t>
        </is>
      </c>
      <c r="H32" t="inlineStr">
        <is>
          <t>dagandhi</t>
        </is>
      </c>
    </row>
    <row r="33">
      <c r="A33" t="inlineStr">
        <is>
          <t>Eason Turner</t>
        </is>
      </c>
      <c r="B33" t="inlineStr">
        <is>
          <t>Searching for Eclipses in X-Ray Sources</t>
        </is>
      </c>
      <c r="C33" t="inlineStr">
        <is>
          <t>Dr. Rosanne Di Stefano</t>
        </is>
      </c>
      <c r="D33" t="inlineStr">
        <is>
          <t>Astronomy &amp; Planetary Science</t>
        </is>
      </c>
      <c r="E33" t="inlineStr">
        <is>
          <t>EE-sun</t>
        </is>
      </c>
      <c r="F33" t="inlineStr">
        <is>
          <t>TUR-ner</t>
        </is>
      </c>
      <c r="G33" t="inlineStr">
        <is>
          <t>eason@mit.edu</t>
        </is>
      </c>
      <c r="H33" t="inlineStr">
        <is>
          <t>eason</t>
        </is>
      </c>
    </row>
    <row r="34">
      <c r="A34" t="inlineStr">
        <is>
          <t>Eric Buehler</t>
        </is>
      </c>
      <c r="B34" t="inlineStr">
        <is>
          <t>Teaching a Medical Vision-Language Model with Automatic Feedback</t>
        </is>
      </c>
      <c r="C34" t="inlineStr">
        <is>
          <t>Dr. Bo Wu</t>
        </is>
      </c>
      <c r="D34" t="inlineStr">
        <is>
          <t>Computer Science &amp; AI</t>
        </is>
      </c>
      <c r="E34" t="inlineStr">
        <is>
          <t>EH-rik</t>
        </is>
      </c>
      <c r="F34" t="inlineStr">
        <is>
          <t>BYOO-ler</t>
        </is>
      </c>
      <c r="G34" t="inlineStr">
        <is>
          <t>ebuehler@mit.edu</t>
        </is>
      </c>
      <c r="H34" t="inlineStr">
        <is>
          <t>ebuehler</t>
        </is>
      </c>
    </row>
    <row r="35">
      <c r="A35" t="inlineStr">
        <is>
          <t>Ferris Li</t>
        </is>
      </c>
      <c r="B35" t="inlineStr">
        <is>
          <t>Building a Machine Learning Model to Track Many C. elegans Worms Simultaneously and Resolve Collisions</t>
        </is>
      </c>
      <c r="C35" t="inlineStr">
        <is>
          <t>Prof. Vivek Venkatachalam</t>
        </is>
      </c>
      <c r="D35" t="inlineStr">
        <is>
          <t>Computer Science &amp; AI</t>
        </is>
      </c>
      <c r="E35" t="inlineStr">
        <is>
          <t>FAIR-is</t>
        </is>
      </c>
      <c r="F35" t="inlineStr">
        <is>
          <t>LEE</t>
        </is>
      </c>
      <c r="G35" t="inlineStr">
        <is>
          <t>hl888@mit.edu</t>
        </is>
      </c>
      <c r="H35" t="inlineStr">
        <is>
          <t>hl888</t>
        </is>
      </c>
    </row>
    <row r="36">
      <c r="A36" t="inlineStr">
        <is>
          <t>Greeshma Vinoy</t>
        </is>
      </c>
      <c r="B36" t="inlineStr">
        <is>
          <t>APOE e4-Associated Microglial Transcriptional Signature Across Neurodegenerative Diseases</t>
        </is>
      </c>
      <c r="C36" t="inlineStr">
        <is>
          <t>Dr. Sudeshna Das</t>
        </is>
      </c>
      <c r="D36" t="inlineStr">
        <is>
          <t>Biology &amp; Medicine</t>
        </is>
      </c>
      <c r="E36" t="inlineStr">
        <is>
          <t>GREESH-mah</t>
        </is>
      </c>
      <c r="F36" t="inlineStr">
        <is>
          <t>vih-NOY</t>
        </is>
      </c>
      <c r="G36" t="inlineStr">
        <is>
          <t>gsvinoy@mit.edu</t>
        </is>
      </c>
      <c r="H36" t="inlineStr">
        <is>
          <t>gsvinoy</t>
        </is>
      </c>
    </row>
    <row r="37">
      <c r="A37" t="inlineStr">
        <is>
          <t>Grisham Paimagam</t>
        </is>
      </c>
      <c r="B37" t="inlineStr">
        <is>
          <t>Sphere Packing on Grassmannians</t>
        </is>
      </c>
      <c r="C37" t="inlineStr">
        <is>
          <t>Siqi Wu</t>
        </is>
      </c>
      <c r="D37" t="inlineStr">
        <is>
          <t>Math</t>
        </is>
      </c>
      <c r="E37" t="inlineStr">
        <is>
          <t>GRISH-um</t>
        </is>
      </c>
      <c r="F37" t="inlineStr">
        <is>
          <t>PY-mah-gum</t>
        </is>
      </c>
      <c r="G37" t="inlineStr">
        <is>
          <t>grishpai@mit.edu</t>
        </is>
      </c>
      <c r="H37" t="inlineStr">
        <is>
          <t>grishpai</t>
        </is>
      </c>
    </row>
    <row r="38">
      <c r="A38" t="inlineStr">
        <is>
          <t>Hannah Thomas</t>
        </is>
      </c>
      <c r="B38" t="inlineStr">
        <is>
          <t>The Role of Them1 in Metabolic Gene Regulation</t>
        </is>
      </c>
      <c r="C38" t="inlineStr">
        <is>
          <t>Prof. Susan Hagen, Dr. Xu Xu</t>
        </is>
      </c>
      <c r="D38" t="inlineStr">
        <is>
          <t>Biology &amp; Medicine</t>
        </is>
      </c>
      <c r="E38" t="inlineStr">
        <is>
          <t>HAN-ah</t>
        </is>
      </c>
      <c r="F38" t="inlineStr">
        <is>
          <t>TOM-us</t>
        </is>
      </c>
      <c r="G38" t="inlineStr">
        <is>
          <t>hannahgt@mit.edu</t>
        </is>
      </c>
      <c r="H38" t="inlineStr">
        <is>
          <t>hannahgt</t>
        </is>
      </c>
    </row>
    <row r="39">
      <c r="A39" t="inlineStr">
        <is>
          <t>Haya Mekdash</t>
        </is>
      </c>
      <c r="B39" t="inlineStr">
        <is>
          <t>Development of a novel assay to measure radiation sensitivity of tumor cells</t>
        </is>
      </c>
      <c r="C39" t="inlineStr">
        <is>
          <t>Dr. David T. Miyamoto</t>
        </is>
      </c>
      <c r="D39" t="inlineStr">
        <is>
          <t>Biology &amp; Medicine</t>
        </is>
      </c>
      <c r="E39" t="inlineStr">
        <is>
          <t>HY-ah</t>
        </is>
      </c>
      <c r="F39" t="inlineStr">
        <is>
          <t>MEK-dash</t>
        </is>
      </c>
      <c r="G39" t="inlineStr">
        <is>
          <t>haya_m24@mit.edu</t>
        </is>
      </c>
      <c r="H39" t="inlineStr">
        <is>
          <t>haya_m24</t>
        </is>
      </c>
    </row>
    <row r="40">
      <c r="A40" t="inlineStr">
        <is>
          <t>Ipek Zeynioğlu</t>
        </is>
      </c>
      <c r="B40" t="inlineStr">
        <is>
          <t>Efficient Binding Free Energy Estimation through Conformational Sampling of Intermediate States</t>
        </is>
      </c>
      <c r="C40" t="inlineStr">
        <is>
          <t>Prof. Manolis Kellis</t>
        </is>
      </c>
      <c r="D40" t="inlineStr">
        <is>
          <t>Chemistry &amp; Materials</t>
        </is>
      </c>
      <c r="E40" t="inlineStr">
        <is>
          <t>EE-pek</t>
        </is>
      </c>
      <c r="F40" t="inlineStr">
        <is>
          <t>ZAY-nee-oh-loo</t>
        </is>
      </c>
      <c r="G40" t="inlineStr">
        <is>
          <t>dipek@mit.edu</t>
        </is>
      </c>
      <c r="H40" t="inlineStr">
        <is>
          <t>dipek</t>
        </is>
      </c>
    </row>
    <row r="41">
      <c r="A41" t="inlineStr">
        <is>
          <t>Izzy Craciun</t>
        </is>
      </c>
      <c r="B41" t="inlineStr">
        <is>
          <t>Diffusion and Retention of Drug Carriers and Fluorescent Tag Molecules Through Cartilage Tissue for Applications to Osteoarthritis Therapeutics</t>
        </is>
      </c>
      <c r="C41" t="inlineStr">
        <is>
          <t>Prof. Ambika Bajpayee</t>
        </is>
      </c>
      <c r="D41" t="inlineStr">
        <is>
          <t>Biology &amp; Medicine</t>
        </is>
      </c>
      <c r="E41" t="inlineStr">
        <is>
          <t>IZ-ee</t>
        </is>
      </c>
      <c r="F41" t="inlineStr">
        <is>
          <t>kra-CHOON</t>
        </is>
      </c>
      <c r="G41" t="inlineStr">
        <is>
          <t>iza_c397@mit.edu</t>
        </is>
      </c>
      <c r="H41" t="inlineStr">
        <is>
          <t>iza_c397</t>
        </is>
      </c>
    </row>
    <row r="42">
      <c r="A42" t="inlineStr">
        <is>
          <t>Jay Athipatla</t>
        </is>
      </c>
      <c r="B42" t="inlineStr">
        <is>
          <t>DC-MTNN: A Drug-Conditioned Multi-Task Neural Network for Predicting Drug Resistance in Mycobacterium tuberculosis Using Genomic Data</t>
        </is>
      </c>
      <c r="C42" t="inlineStr">
        <is>
          <t>Dr. Sean Carroll</t>
        </is>
      </c>
      <c r="D42" t="inlineStr">
        <is>
          <t>Computer Science &amp; AI</t>
        </is>
      </c>
      <c r="E42" t="inlineStr">
        <is>
          <t>JAY</t>
        </is>
      </c>
      <c r="F42" t="inlineStr">
        <is>
          <t>ah-thi-PAT-lah</t>
        </is>
      </c>
      <c r="G42" t="inlineStr">
        <is>
          <t>jaydesai@mit.edu</t>
        </is>
      </c>
      <c r="H42" t="inlineStr">
        <is>
          <t>jaydesai</t>
        </is>
      </c>
    </row>
    <row r="43">
      <c r="A43" t="inlineStr">
        <is>
          <t>Jay Desai</t>
        </is>
      </c>
      <c r="B43" t="inlineStr">
        <is>
          <t>Effective Computation of Free Resolutions and Cohomology for Quotients of Braid Groups</t>
        </is>
      </c>
      <c r="C43" t="inlineStr">
        <is>
          <t>Prof. Gil Alterovitz</t>
        </is>
      </c>
      <c r="D43" t="inlineStr">
        <is>
          <t>Math</t>
        </is>
      </c>
      <c r="E43" t="inlineStr">
        <is>
          <t>JAY</t>
        </is>
      </c>
      <c r="F43" t="inlineStr">
        <is>
          <t>deh-SAI</t>
        </is>
      </c>
      <c r="G43" t="inlineStr">
        <is>
          <t>jayant69@mit.edu</t>
        </is>
      </c>
      <c r="H43" t="inlineStr">
        <is>
          <t>jayant69</t>
        </is>
      </c>
    </row>
    <row r="44">
      <c r="A44" t="inlineStr">
        <is>
          <t>Jordan Chong</t>
        </is>
      </c>
      <c r="B44" t="inlineStr">
        <is>
          <t>Arsenic Leaching from Granular Activated Carbon Electrodes in Water Treatment</t>
        </is>
      </c>
      <c r="C44" t="inlineStr">
        <is>
          <t>Dr. Muhammad Fahad Ehsan</t>
        </is>
      </c>
      <c r="D44" t="inlineStr">
        <is>
          <t>Engineering</t>
        </is>
      </c>
      <c r="E44" t="inlineStr">
        <is>
          <t>JOR-dun</t>
        </is>
      </c>
      <c r="F44" t="inlineStr">
        <is>
          <t>CHONG</t>
        </is>
      </c>
      <c r="G44" t="inlineStr">
        <is>
          <t>jordanrc@mit.edu</t>
        </is>
      </c>
      <c r="H44" t="inlineStr">
        <is>
          <t>jordanrc</t>
        </is>
      </c>
    </row>
    <row r="45">
      <c r="A45" t="inlineStr">
        <is>
          <t>Kai Xuen Toh</t>
        </is>
      </c>
      <c r="B45" t="inlineStr">
        <is>
          <t>Detecting Life in the Clouds: The Feasibility of Using UV Phase Delay Sensing on Venus</t>
        </is>
      </c>
      <c r="C45" t="inlineStr">
        <is>
          <t>Prof. Sara Seager</t>
        </is>
      </c>
      <c r="D45" t="inlineStr">
        <is>
          <t>Astronomy &amp; Planetary Science</t>
        </is>
      </c>
      <c r="E45" t="inlineStr">
        <is>
          <t>KY SHWEN</t>
        </is>
      </c>
      <c r="F45" t="inlineStr">
        <is>
          <t>TOH</t>
        </is>
      </c>
      <c r="G45" t="inlineStr">
        <is>
          <t>tohk140@mit.edu</t>
        </is>
      </c>
      <c r="H45" t="inlineStr">
        <is>
          <t>tohk140</t>
        </is>
      </c>
    </row>
    <row r="46">
      <c r="A46" t="inlineStr">
        <is>
          <t>Karim Mrad</t>
        </is>
      </c>
      <c r="B46" t="inlineStr">
        <is>
          <t>Strategic Use of the KR Alpha Synuclein Mutant (G14R + E46K) to Develop Experimental Models of Parkinson's Disease</t>
        </is>
      </c>
      <c r="C46" t="inlineStr">
        <is>
          <t>Prof. Ulf Dettmer</t>
        </is>
      </c>
      <c r="D46" t="inlineStr">
        <is>
          <t>Biology &amp; Medicine</t>
        </is>
      </c>
      <c r="E46" t="inlineStr">
        <is>
          <t>kah-REEM</t>
        </is>
      </c>
      <c r="F46" t="inlineStr">
        <is>
          <t>muh-RAHD</t>
        </is>
      </c>
      <c r="G46" t="inlineStr">
        <is>
          <t>kmradddd@mit.edu</t>
        </is>
      </c>
      <c r="H46" t="inlineStr">
        <is>
          <t>kmradddd</t>
        </is>
      </c>
    </row>
    <row r="47">
      <c r="A47" t="inlineStr">
        <is>
          <t>Karl Chu</t>
        </is>
      </c>
      <c r="B47" t="inlineStr">
        <is>
          <t>Evaluating Dyadic Foraging Optimization Through the Marginal Value Theorem</t>
        </is>
      </c>
      <c r="C47" t="inlineStr">
        <is>
          <t>Prof. Jeremy Wolfe</t>
        </is>
      </c>
      <c r="D47" t="inlineStr">
        <is>
          <t>Neuroscience &amp; Psychology</t>
        </is>
      </c>
      <c r="E47" t="inlineStr">
        <is>
          <t>KARL</t>
        </is>
      </c>
      <c r="F47" t="inlineStr">
        <is>
          <t>CHOO</t>
        </is>
      </c>
      <c r="G47" t="inlineStr">
        <is>
          <t>karlc24@mit.edu</t>
        </is>
      </c>
      <c r="H47" t="inlineStr">
        <is>
          <t>karlc24</t>
        </is>
      </c>
    </row>
    <row r="48">
      <c r="A48" t="inlineStr">
        <is>
          <t>Katrina Liu</t>
        </is>
      </c>
      <c r="B48" t="inlineStr">
        <is>
          <t>Temporal Preferential Attachment Trees</t>
        </is>
      </c>
      <c r="C48" t="inlineStr">
        <is>
          <t>Hang Du</t>
        </is>
      </c>
      <c r="D48" t="inlineStr">
        <is>
          <t>Math</t>
        </is>
      </c>
      <c r="E48" t="inlineStr">
        <is>
          <t>kah-TREE-nah</t>
        </is>
      </c>
      <c r="F48" t="inlineStr">
        <is>
          <t>LYOO</t>
        </is>
      </c>
      <c r="G48" t="inlineStr">
        <is>
          <t>liukz@mit.edu</t>
        </is>
      </c>
      <c r="H48" t="inlineStr">
        <is>
          <t>liukz</t>
        </is>
      </c>
    </row>
    <row r="49">
      <c r="A49" t="inlineStr">
        <is>
          <t>Lara Otico</t>
        </is>
      </c>
      <c r="B49" t="inlineStr">
        <is>
          <t>Evaluating the Efficacy of RAP-Mediated Steric Hinderance on LRP-1 to Inhibit TcdB Endocytosis and Limit C. difficile Pathogenesis</t>
        </is>
      </c>
      <c r="C49" t="inlineStr">
        <is>
          <t>Prof. Min Dong</t>
        </is>
      </c>
      <c r="D49" t="inlineStr">
        <is>
          <t>Biology &amp; Medicine</t>
        </is>
      </c>
      <c r="E49" t="inlineStr">
        <is>
          <t>LAH-rah</t>
        </is>
      </c>
      <c r="F49" t="inlineStr">
        <is>
          <t>oh-TEE-koh</t>
        </is>
      </c>
      <c r="G49" t="inlineStr">
        <is>
          <t>larao369@mit.edu</t>
        </is>
      </c>
      <c r="H49" t="inlineStr">
        <is>
          <t>larao369</t>
        </is>
      </c>
    </row>
    <row r="50">
      <c r="A50" t="inlineStr">
        <is>
          <t>Layth Alzahrani</t>
        </is>
      </c>
      <c r="B50" t="inlineStr">
        <is>
          <t>Crown–Root Segmentation in Dental CBCT Using Anatomically Guided Synthetic Annotation</t>
        </is>
      </c>
      <c r="C50" t="inlineStr">
        <is>
          <t>Dr. Bo Wu</t>
        </is>
      </c>
      <c r="D50" t="inlineStr">
        <is>
          <t>Computer Science &amp; AI</t>
        </is>
      </c>
      <c r="E50" t="inlineStr">
        <is>
          <t>LAYTH</t>
        </is>
      </c>
      <c r="F50" t="inlineStr">
        <is>
          <t>al-zah-RAH-nee</t>
        </is>
      </c>
      <c r="G50" t="inlineStr">
        <is>
          <t>layth224@mit.edu</t>
        </is>
      </c>
      <c r="H50" t="inlineStr">
        <is>
          <t>layth224</t>
        </is>
      </c>
    </row>
    <row r="51">
      <c r="A51" t="inlineStr">
        <is>
          <t>Leonardo Bartoccini</t>
        </is>
      </c>
      <c r="B51" t="inlineStr">
        <is>
          <t>Learning Reciprocity: Value-Based Intrinsic Rewards for Cooperation in Sequential Social Dilemmas</t>
        </is>
      </c>
      <c r="C51" t="inlineStr">
        <is>
          <t>Prof. Chuchu Fan</t>
        </is>
      </c>
      <c r="D51" t="inlineStr">
        <is>
          <t>Computer Science &amp; AI</t>
        </is>
      </c>
      <c r="E51" t="inlineStr">
        <is>
          <t>LEE-oh-nardo</t>
        </is>
      </c>
      <c r="F51" t="inlineStr">
        <is>
          <t>bar-toh-CHEE-nee</t>
        </is>
      </c>
      <c r="G51" t="inlineStr">
        <is>
          <t>leobart@mit.edu</t>
        </is>
      </c>
      <c r="H51" t="inlineStr">
        <is>
          <t>leobart</t>
        </is>
      </c>
    </row>
    <row r="52">
      <c r="A52" t="inlineStr">
        <is>
          <t>Leyu Girma</t>
        </is>
      </c>
      <c r="B52" t="inlineStr">
        <is>
          <t>Explicit Free Resolutions for Central Quotients of Cyclic Amalgams</t>
        </is>
      </c>
      <c r="C52" t="inlineStr">
        <is>
          <t>Dr. Sean Carroll</t>
        </is>
      </c>
      <c r="D52" t="inlineStr">
        <is>
          <t>Math</t>
        </is>
      </c>
      <c r="E52" t="inlineStr">
        <is>
          <t>Lee-yoo</t>
        </is>
      </c>
      <c r="F52" t="inlineStr">
        <is>
          <t>Gurr-ma</t>
        </is>
      </c>
      <c r="G52" t="inlineStr">
        <is>
          <t>leyug@mit.edu</t>
        </is>
      </c>
      <c r="H52" t="inlineStr">
        <is>
          <t>leyug</t>
        </is>
      </c>
    </row>
    <row r="53">
      <c r="A53" t="inlineStr">
        <is>
          <t>Lillie Lin Li</t>
        </is>
      </c>
      <c r="B53" t="inlineStr">
        <is>
          <t>Neptunian Ridge around faint stars</t>
        </is>
      </c>
      <c r="C53" t="inlineStr">
        <is>
          <t>Katharine Hesse</t>
        </is>
      </c>
      <c r="D53" t="inlineStr">
        <is>
          <t>Astronomy &amp; Planetary Science</t>
        </is>
      </c>
      <c r="E53" t="inlineStr">
        <is>
          <t>LIL-ee Lynn</t>
        </is>
      </c>
      <c r="F53" t="inlineStr">
        <is>
          <t>LEE</t>
        </is>
      </c>
      <c r="G53" t="inlineStr">
        <is>
          <t>lillieli@mit.edu</t>
        </is>
      </c>
      <c r="H53" t="inlineStr">
        <is>
          <t>lillieli</t>
        </is>
      </c>
    </row>
    <row r="54">
      <c r="A54" t="inlineStr">
        <is>
          <t>Lincoln Liu</t>
        </is>
      </c>
      <c r="B54" t="inlineStr">
        <is>
          <t>Heat Evolution on Graphs</t>
        </is>
      </c>
      <c r="C54" t="inlineStr">
        <is>
          <t>Alexander McWeeney</t>
        </is>
      </c>
      <c r="D54" t="inlineStr">
        <is>
          <t>Math</t>
        </is>
      </c>
      <c r="E54" t="inlineStr">
        <is>
          <t>LINK-un</t>
        </is>
      </c>
      <c r="F54" t="inlineStr">
        <is>
          <t>LYOO</t>
        </is>
      </c>
      <c r="G54" t="inlineStr">
        <is>
          <t>lliu320@mit.edu</t>
        </is>
      </c>
      <c r="H54" t="inlineStr">
        <is>
          <t>lliu320</t>
        </is>
      </c>
    </row>
    <row r="55">
      <c r="A55" t="inlineStr">
        <is>
          <t>Lluc Simon</t>
        </is>
      </c>
      <c r="B55" t="inlineStr">
        <is>
          <t>(Title TBD)</t>
        </is>
      </c>
      <c r="C55" t="inlineStr">
        <is>
          <t>Prof. Vladan Vuletic</t>
        </is>
      </c>
      <c r="D55" t="inlineStr">
        <is>
          <t>Physics</t>
        </is>
      </c>
      <c r="E55" t="inlineStr">
        <is>
          <t>LYOOK</t>
        </is>
      </c>
      <c r="F55" t="inlineStr">
        <is>
          <t>SEE-mon</t>
        </is>
      </c>
      <c r="G55" t="inlineStr">
        <is>
          <t>lluc@mit.edu</t>
        </is>
      </c>
      <c r="H55" t="inlineStr">
        <is>
          <t>lluc</t>
        </is>
      </c>
    </row>
    <row r="56">
      <c r="A56" t="inlineStr">
        <is>
          <t>Logan Duran</t>
        </is>
      </c>
      <c r="B56" t="inlineStr">
        <is>
          <t>Effects of material and surface chemistry in heat exchanger</t>
        </is>
      </c>
      <c r="C56" t="inlineStr">
        <is>
          <t>Prof. Koroush Shirvan</t>
        </is>
      </c>
      <c r="D56" t="inlineStr">
        <is>
          <t>Engineering</t>
        </is>
      </c>
      <c r="E56" t="inlineStr">
        <is>
          <t>LOH-gun</t>
        </is>
      </c>
      <c r="F56" t="inlineStr">
        <is>
          <t>doo-RAHN</t>
        </is>
      </c>
      <c r="G56" t="inlineStr">
        <is>
          <t>lwduran@mit.edu</t>
        </is>
      </c>
      <c r="H56" t="inlineStr">
        <is>
          <t>lwduran</t>
        </is>
      </c>
    </row>
    <row r="57">
      <c r="A57" t="inlineStr">
        <is>
          <t>Lucia Chen</t>
        </is>
      </c>
      <c r="B57" t="inlineStr">
        <is>
          <t>Understanding the Rules of Gene Perturbation Responses</t>
        </is>
      </c>
      <c r="C57" t="inlineStr">
        <is>
          <t>Dr. Sumaiya Nazeen</t>
        </is>
      </c>
      <c r="D57" t="inlineStr">
        <is>
          <t>Biology &amp; Medicine</t>
        </is>
      </c>
      <c r="E57" t="inlineStr">
        <is>
          <t>loo-SEE-ah</t>
        </is>
      </c>
      <c r="F57" t="inlineStr">
        <is>
          <t>CHEN</t>
        </is>
      </c>
      <c r="G57" t="inlineStr">
        <is>
          <t>lucichen@mit.edu</t>
        </is>
      </c>
      <c r="H57" t="inlineStr">
        <is>
          <t>lucichen</t>
        </is>
      </c>
    </row>
    <row r="58">
      <c r="A58" t="inlineStr">
        <is>
          <t>Luke Itomura</t>
        </is>
      </c>
      <c r="B58" t="inlineStr">
        <is>
          <t>Yeast-Based High-Throughput Screening for _Plasmodium falciparum_ PDEα Inhibitor Discovery</t>
        </is>
      </c>
      <c r="C58" t="inlineStr">
        <is>
          <t>Prof. Charles Hoffman</t>
        </is>
      </c>
      <c r="D58" t="inlineStr">
        <is>
          <t>Biology &amp; Medicine</t>
        </is>
      </c>
      <c r="E58" t="inlineStr">
        <is>
          <t>LOOK</t>
        </is>
      </c>
      <c r="F58" t="inlineStr">
        <is>
          <t>ee-toh-MOO-rah</t>
        </is>
      </c>
      <c r="G58" t="inlineStr">
        <is>
          <t>litomura@mit.edu</t>
        </is>
      </c>
      <c r="H58" t="inlineStr">
        <is>
          <t>litomura</t>
        </is>
      </c>
    </row>
    <row r="59">
      <c r="A59" t="inlineStr">
        <is>
          <t>Mahi Kohli</t>
        </is>
      </c>
      <c r="B59" t="inlineStr">
        <is>
          <t>Worming Our Way Out: Analyzing How Developmental Exposure to UNC-31 Degradation and TIR1 affect brain dynamics of C. elegans</t>
        </is>
      </c>
      <c r="C59" t="inlineStr">
        <is>
          <t>Prof. Vivek Venkatachalam</t>
        </is>
      </c>
      <c r="D59" t="inlineStr">
        <is>
          <t>Biology &amp; Medicine</t>
        </is>
      </c>
      <c r="E59" t="inlineStr">
        <is>
          <t>MAH-hee</t>
        </is>
      </c>
      <c r="F59" t="inlineStr">
        <is>
          <t>KOH-lee</t>
        </is>
      </c>
      <c r="G59" t="inlineStr">
        <is>
          <t>mahi_k19@mit.edu</t>
        </is>
      </c>
      <c r="H59" t="inlineStr">
        <is>
          <t>mahi_k19</t>
        </is>
      </c>
    </row>
    <row r="60">
      <c r="A60" t="inlineStr">
        <is>
          <t>Mahima Lele</t>
        </is>
      </c>
      <c r="B60" t="inlineStr">
        <is>
          <t>Evaluating the FDA’s 510(k) Pathway for Approving AI/ML Medical Devices</t>
        </is>
      </c>
      <c r="C60" t="inlineStr">
        <is>
          <t>Prof. Timothy Miller</t>
        </is>
      </c>
      <c r="D60" t="inlineStr">
        <is>
          <t>Economics &amp; Policy</t>
        </is>
      </c>
      <c r="E60" t="inlineStr">
        <is>
          <t>mah-HEE-mah</t>
        </is>
      </c>
      <c r="F60" t="inlineStr">
        <is>
          <t>LAY-lay</t>
        </is>
      </c>
      <c r="G60" t="inlineStr">
        <is>
          <t>mlele123@mit.edu</t>
        </is>
      </c>
      <c r="H60" t="inlineStr">
        <is>
          <t>mlele123</t>
        </is>
      </c>
    </row>
    <row r="61">
      <c r="A61" t="inlineStr">
        <is>
          <t>Malin Janna Vega</t>
        </is>
      </c>
      <c r="B61" t="inlineStr">
        <is>
          <t>GPU-Accelerated Numerical Modeling of Idealized Ocean Circulation</t>
        </is>
      </c>
      <c r="C61" t="inlineStr">
        <is>
          <t>Prof. Pierre F.J Lermusiaux</t>
        </is>
      </c>
      <c r="D61" t="inlineStr">
        <is>
          <t>Earth, Ocean &amp; Climate</t>
        </is>
      </c>
      <c r="E61" t="inlineStr">
        <is>
          <t>MAH-lin YAH-nah</t>
        </is>
      </c>
      <c r="F61" t="inlineStr">
        <is>
          <t>VEH-gah</t>
        </is>
      </c>
      <c r="G61" t="inlineStr">
        <is>
          <t>mjmvega@mit.edu</t>
        </is>
      </c>
      <c r="H61" t="inlineStr">
        <is>
          <t>mjmvega</t>
        </is>
      </c>
    </row>
    <row r="62">
      <c r="A62" t="inlineStr">
        <is>
          <t>Matey Minev</t>
        </is>
      </c>
      <c r="B62" t="inlineStr">
        <is>
          <t>Before the Final Assembly: Temporal Leakage and Process Privacy in Covert Tile Automata</t>
        </is>
      </c>
      <c r="C62" t="inlineStr">
        <is>
          <t>Timothy Gomez</t>
        </is>
      </c>
      <c r="D62" t="inlineStr">
        <is>
          <t>Computer Science &amp; AI</t>
        </is>
      </c>
      <c r="E62" t="inlineStr">
        <is>
          <t>MAH-tay</t>
        </is>
      </c>
      <c r="F62" t="inlineStr">
        <is>
          <t>MEE-nev</t>
        </is>
      </c>
      <c r="G62" t="inlineStr">
        <is>
          <t>matey@mit.edu</t>
        </is>
      </c>
      <c r="H62" t="inlineStr">
        <is>
          <t>matey</t>
        </is>
      </c>
    </row>
    <row r="63">
      <c r="A63" t="inlineStr">
        <is>
          <t>Matthew Lo</t>
        </is>
      </c>
      <c r="B63" t="inlineStr">
        <is>
          <t>Immunological Modeling of Anti-Idiotypic Network Dynamics to Explain Neonatal Tolerance and Adult Responsiveness</t>
        </is>
      </c>
      <c r="C63" t="inlineStr">
        <is>
          <t>Prof. James Michaelson</t>
        </is>
      </c>
      <c r="D63" t="inlineStr">
        <is>
          <t>Biology &amp; Medicine</t>
        </is>
      </c>
      <c r="E63" t="inlineStr">
        <is>
          <t>MATH-yoo</t>
        </is>
      </c>
      <c r="F63" t="inlineStr">
        <is>
          <t>LOH</t>
        </is>
      </c>
      <c r="G63" t="inlineStr">
        <is>
          <t>mattlo@mit.edu</t>
        </is>
      </c>
      <c r="H63" t="inlineStr">
        <is>
          <t>mattlo</t>
        </is>
      </c>
    </row>
    <row r="64">
      <c r="A64" t="inlineStr">
        <is>
          <t>Michael Luo</t>
        </is>
      </c>
      <c r="B64" t="inlineStr">
        <is>
          <t>Resolving a Conjecture on Stack-Sorting</t>
        </is>
      </c>
      <c r="C64" t="inlineStr">
        <is>
          <t>Ryota Inagaki</t>
        </is>
      </c>
      <c r="D64" t="inlineStr">
        <is>
          <t>Math</t>
        </is>
      </c>
      <c r="E64" t="inlineStr">
        <is>
          <t>MY-kul</t>
        </is>
      </c>
      <c r="F64" t="inlineStr">
        <is>
          <t>LWOH</t>
        </is>
      </c>
      <c r="G64" t="inlineStr">
        <is>
          <t>mluo928@mit.edu</t>
        </is>
      </c>
      <c r="H64" t="inlineStr">
        <is>
          <t>mluo928</t>
        </is>
      </c>
    </row>
    <row r="65">
      <c r="A65" t="inlineStr">
        <is>
          <t>Miguel Shim</t>
        </is>
      </c>
      <c r="B65" t="inlineStr">
        <is>
          <t>Information Flow in Self Organizing Systems</t>
        </is>
      </c>
      <c r="C65" t="inlineStr">
        <is>
          <t>Ashu Tripathi</t>
        </is>
      </c>
      <c r="D65" t="inlineStr">
        <is>
          <t>Physics</t>
        </is>
      </c>
      <c r="E65" t="inlineStr">
        <is>
          <t>mee-GEL</t>
        </is>
      </c>
      <c r="F65" t="inlineStr">
        <is>
          <t>SHIM</t>
        </is>
      </c>
      <c r="G65" t="inlineStr">
        <is>
          <t>shim112@mit.edu</t>
        </is>
      </c>
      <c r="H65" t="inlineStr">
        <is>
          <t>shim112</t>
        </is>
      </c>
    </row>
    <row r="66">
      <c r="A66" t="inlineStr">
        <is>
          <t>Mikołaj Stefaniak</t>
        </is>
      </c>
      <c r="B66" t="inlineStr">
        <is>
          <t>Optical pulse shaping for quantum-enhanced clocks</t>
        </is>
      </c>
      <c r="C66" t="inlineStr">
        <is>
          <t>Prof. Vladan Vuletic</t>
        </is>
      </c>
      <c r="D66" t="inlineStr">
        <is>
          <t>Physics</t>
        </is>
      </c>
      <c r="E66" t="inlineStr">
        <is>
          <t>mee-KOH-why</t>
        </is>
      </c>
      <c r="F66" t="inlineStr">
        <is>
          <t>steh-FAH-nyak</t>
        </is>
      </c>
      <c r="G66" t="inlineStr">
        <is>
          <t>mikolaj@mit.edu</t>
        </is>
      </c>
      <c r="H66" t="inlineStr">
        <is>
          <t>mikolaj</t>
        </is>
      </c>
    </row>
    <row r="67">
      <c r="A67" t="inlineStr">
        <is>
          <t>Mira Cakmak</t>
        </is>
      </c>
      <c r="B67" t="inlineStr">
        <is>
          <t>Visualizing Neuropsychological Profiles in Patients with Alzheimer's Disease</t>
        </is>
      </c>
      <c r="C67" t="inlineStr">
        <is>
          <t>Dr. Daniel Press and Dr. Hsueh-Sheng Chiang</t>
        </is>
      </c>
      <c r="D67" t="inlineStr">
        <is>
          <t>Neuroscience &amp; Psychology</t>
        </is>
      </c>
      <c r="E67" t="inlineStr">
        <is>
          <t>MEE-rah</t>
        </is>
      </c>
      <c r="F67" t="inlineStr">
        <is>
          <t>CHAHK-mahk</t>
        </is>
      </c>
      <c r="G67" t="inlineStr">
        <is>
          <t>mira_c36@mit.edu</t>
        </is>
      </c>
      <c r="H67" t="inlineStr">
        <is>
          <t>mira_c36</t>
        </is>
      </c>
    </row>
    <row r="68">
      <c r="A68" t="inlineStr">
        <is>
          <t>Mustafa Bakhodirov</t>
        </is>
      </c>
      <c r="B68" t="inlineStr">
        <is>
          <t>Patient-Specific Modeling of Brain and Cerebrospinal Fluid Response to Rapid Head Acceleration in Chiari I Malformation</t>
        </is>
      </c>
      <c r="C68" t="inlineStr">
        <is>
          <t>Prof. Francis Loth and Hannah Higgins</t>
        </is>
      </c>
      <c r="D68" t="inlineStr">
        <is>
          <t>Engineering</t>
        </is>
      </c>
      <c r="E68" t="inlineStr">
        <is>
          <t>moos-TAH-fah</t>
        </is>
      </c>
      <c r="F68" t="inlineStr">
        <is>
          <t>bah-koh-DEE-rov</t>
        </is>
      </c>
      <c r="G68" t="inlineStr">
        <is>
          <t>mbakhod@mit.edu</t>
        </is>
      </c>
      <c r="H68" t="inlineStr">
        <is>
          <t>mbakhod</t>
        </is>
      </c>
    </row>
    <row r="69">
      <c r="A69" t="inlineStr">
        <is>
          <t>Nabet El Hajjar</t>
        </is>
      </c>
      <c r="B69" t="inlineStr">
        <is>
          <t>Neighborhood Disadvantage, White Matter Development, and Child Outcomes: Evidence from the ABCD Study</t>
        </is>
      </c>
      <c r="C69" t="inlineStr">
        <is>
          <t>Dr. Yogesh Rathi, Dr. Sinead Marie Kelly, Dr. Lipeng Ning</t>
        </is>
      </c>
      <c r="D69" t="inlineStr">
        <is>
          <t>Neuroscience &amp; Psychology</t>
        </is>
      </c>
      <c r="E69" t="inlineStr">
        <is>
          <t>NAH-bet</t>
        </is>
      </c>
      <c r="F69" t="inlineStr">
        <is>
          <t>el hah-JAR</t>
        </is>
      </c>
      <c r="G69" t="inlineStr">
        <is>
          <t>nabet@mit.edu</t>
        </is>
      </c>
      <c r="H69" t="inlineStr">
        <is>
          <t>nabet</t>
        </is>
      </c>
    </row>
    <row r="70">
      <c r="A70" t="inlineStr">
        <is>
          <t>Namie Djaja</t>
        </is>
      </c>
      <c r="B70" t="inlineStr">
        <is>
          <t>A Teleoperation System as a Data Engine for Learning System Dynamics</t>
        </is>
      </c>
      <c r="C70" t="inlineStr">
        <is>
          <t>Prof. Chuchu Fan</t>
        </is>
      </c>
      <c r="D70" t="inlineStr">
        <is>
          <t>Computer Science &amp; AI</t>
        </is>
      </c>
      <c r="E70" t="inlineStr">
        <is>
          <t>NAH-mee</t>
        </is>
      </c>
      <c r="F70" t="inlineStr">
        <is>
          <t>JAH-ya</t>
        </is>
      </c>
      <c r="G70" t="inlineStr">
        <is>
          <t>namie@mit.edu</t>
        </is>
      </c>
      <c r="H70" t="inlineStr">
        <is>
          <t>namie</t>
        </is>
      </c>
    </row>
    <row r="71">
      <c r="A71" t="inlineStr">
        <is>
          <t>Ngawang Namgyal</t>
        </is>
      </c>
      <c r="B71" t="inlineStr">
        <is>
          <t>W-Flow: Continuous-variable Quantum State Tomography via Flow-based Generative Modeling</t>
        </is>
      </c>
      <c r="C71" t="inlineStr">
        <is>
          <t>Prof. Peter Lu, Oreoluwa Alao</t>
        </is>
      </c>
      <c r="D71" t="inlineStr">
        <is>
          <t>Physics</t>
        </is>
      </c>
      <c r="E71" t="inlineStr">
        <is>
          <t>No-wong</t>
        </is>
      </c>
      <c r="F71" t="inlineStr">
        <is>
          <t>nahm-GYEL</t>
        </is>
      </c>
      <c r="G71" t="inlineStr">
        <is>
          <t>ngawang1@mit.edu</t>
        </is>
      </c>
      <c r="H71" t="inlineStr">
        <is>
          <t>ngawang1</t>
        </is>
      </c>
    </row>
    <row r="72">
      <c r="A72" t="inlineStr">
        <is>
          <t>Nikola Veselinov</t>
        </is>
      </c>
      <c r="B72" t="inlineStr">
        <is>
          <t>On Supersingular Isogeny Graphs of Drinfeld Modules</t>
        </is>
      </c>
      <c r="C72" t="inlineStr">
        <is>
          <t>Ayan Nath</t>
        </is>
      </c>
      <c r="D72" t="inlineStr">
        <is>
          <t>Math</t>
        </is>
      </c>
      <c r="E72" t="inlineStr">
        <is>
          <t>NIH-koh-lah</t>
        </is>
      </c>
      <c r="F72" t="inlineStr">
        <is>
          <t>veh-SEL-ih-nov</t>
        </is>
      </c>
      <c r="G72" t="inlineStr">
        <is>
          <t>nveselin@mit.edu</t>
        </is>
      </c>
      <c r="H72" t="inlineStr">
        <is>
          <t>nveselin</t>
        </is>
      </c>
    </row>
    <row r="73">
      <c r="A73" t="inlineStr">
        <is>
          <t>Pavan Subramani</t>
        </is>
      </c>
      <c r="B73" t="inlineStr">
        <is>
          <t>The computational conversion of a singular apo structure to an ensemble of holo structures for more accurate molecular docking</t>
        </is>
      </c>
      <c r="C73" t="inlineStr">
        <is>
          <t>Dr. Mrinal Shekhar</t>
        </is>
      </c>
      <c r="D73" t="inlineStr">
        <is>
          <t>Chemistry &amp; Materials</t>
        </is>
      </c>
      <c r="E73" t="inlineStr">
        <is>
          <t>pah-VAHN</t>
        </is>
      </c>
      <c r="F73" t="inlineStr">
        <is>
          <t>soo-brah-MAH-nee</t>
        </is>
      </c>
      <c r="G73" t="inlineStr">
        <is>
          <t>psubra18@mit.edu</t>
        </is>
      </c>
      <c r="H73" t="inlineStr">
        <is>
          <t>psubra18</t>
        </is>
      </c>
    </row>
    <row r="74">
      <c r="A74" t="inlineStr">
        <is>
          <t>Raquel Gomez Junco Lobo</t>
        </is>
      </c>
      <c r="B74" t="inlineStr">
        <is>
          <t>Rational Minigene Design Toward AAV Gene Therapy for Bainbridge-Ropers Syndrome</t>
        </is>
      </c>
      <c r="C74" t="inlineStr">
        <is>
          <t>Prof. Fengfeng Bei</t>
        </is>
      </c>
      <c r="D74" t="inlineStr">
        <is>
          <t>Biology &amp; Medicine</t>
        </is>
      </c>
      <c r="E74" t="inlineStr">
        <is>
          <t>rah-KEL</t>
        </is>
      </c>
      <c r="F74" t="inlineStr">
        <is>
          <t>GOH-mez HOON-koh LOH-boh</t>
        </is>
      </c>
      <c r="G74" t="inlineStr">
        <is>
          <t>raquelgj@mit.edu</t>
        </is>
      </c>
      <c r="H74" t="inlineStr">
        <is>
          <t>raquelgj</t>
        </is>
      </c>
    </row>
    <row r="75">
      <c r="A75" t="inlineStr">
        <is>
          <t>Rishi Pampati</t>
        </is>
      </c>
      <c r="B75" t="inlineStr">
        <is>
          <t>Functional Neural Connectivity During Inactivation of the Anterior Insula in Fentanyl-Administered Rats</t>
        </is>
      </c>
      <c r="C75" t="inlineStr">
        <is>
          <t>Dr. Sarah Bricault and Prof. Alan Pradip Jasanoff (PI)</t>
        </is>
      </c>
      <c r="D75" t="inlineStr">
        <is>
          <t>Neuroscience &amp; Psychology</t>
        </is>
      </c>
      <c r="E75" t="inlineStr">
        <is>
          <t>RIH-shee</t>
        </is>
      </c>
      <c r="F75" t="inlineStr">
        <is>
          <t>pum-PAH-tee</t>
        </is>
      </c>
      <c r="G75" t="inlineStr">
        <is>
          <t>rishi007@mit.edu</t>
        </is>
      </c>
      <c r="H75" t="inlineStr">
        <is>
          <t>rishi007</t>
        </is>
      </c>
    </row>
    <row r="76">
      <c r="A76" t="inlineStr">
        <is>
          <t>Riya Mehrotra</t>
        </is>
      </c>
      <c r="B76" t="inlineStr">
        <is>
          <t>Simplified Volume Formulas for Tetrahedron by Edge-length Symmetry Class</t>
        </is>
      </c>
      <c r="C76" t="inlineStr">
        <is>
          <t>Prof. Eric Grinberg</t>
        </is>
      </c>
      <c r="D76" t="inlineStr">
        <is>
          <t>Math</t>
        </is>
      </c>
      <c r="E76" t="inlineStr">
        <is>
          <t>REE-yah</t>
        </is>
      </c>
      <c r="F76" t="inlineStr">
        <is>
          <t>meh-ROH-trah</t>
        </is>
      </c>
      <c r="G76" t="inlineStr">
        <is>
          <t>riyam114@mit.edu</t>
        </is>
      </c>
      <c r="H76" t="inlineStr">
        <is>
          <t>riyam114</t>
        </is>
      </c>
    </row>
    <row r="77">
      <c r="A77" t="inlineStr">
        <is>
          <t>Rohan Peddamallu</t>
        </is>
      </c>
      <c r="B77" t="inlineStr">
        <is>
          <t>Neural CBF-based Safe RL for Robot Locomotion</t>
        </is>
      </c>
      <c r="C77" t="inlineStr">
        <is>
          <t>Prof. Chuchu Fan</t>
        </is>
      </c>
      <c r="D77" t="inlineStr">
        <is>
          <t>Computer Science &amp; AI</t>
        </is>
      </c>
      <c r="E77" t="inlineStr">
        <is>
          <t>ROH-hun</t>
        </is>
      </c>
      <c r="F77" t="inlineStr">
        <is>
          <t>peh-dah-MAH-loo</t>
        </is>
      </c>
      <c r="G77" t="inlineStr">
        <is>
          <t>rohanpr@mit.edu</t>
        </is>
      </c>
      <c r="H77" t="inlineStr">
        <is>
          <t>rohanpr</t>
        </is>
      </c>
    </row>
    <row r="78">
      <c r="A78" t="inlineStr">
        <is>
          <t>Ruchika Ramachandran</t>
        </is>
      </c>
      <c r="B78" t="inlineStr">
        <is>
          <t>Investigating the Role of Alternative Polyadenylation in Obesity-Induced Cardiac Endothelial Inflammation</t>
        </is>
      </c>
      <c r="C78" t="inlineStr">
        <is>
          <t>Dr. Basak Icli</t>
        </is>
      </c>
      <c r="D78" t="inlineStr">
        <is>
          <t>Biology &amp; Medicine</t>
        </is>
      </c>
      <c r="E78" t="inlineStr">
        <is>
          <t>ROO-chih-kah</t>
        </is>
      </c>
      <c r="F78" t="inlineStr">
        <is>
          <t>rah-mah-CHUN-drun</t>
        </is>
      </c>
      <c r="G78" t="inlineStr">
        <is>
          <t>ruchram8@mit.edu</t>
        </is>
      </c>
      <c r="H78" t="inlineStr">
        <is>
          <t>ruchram8</t>
        </is>
      </c>
    </row>
    <row r="79">
      <c r="A79" t="inlineStr">
        <is>
          <t>Sara Mitchell</t>
        </is>
      </c>
      <c r="B79" t="inlineStr">
        <is>
          <t>Identifying Alternative Stimulatory Receptors for TCR-independent Activation of T-cells</t>
        </is>
      </c>
      <c r="C79" t="inlineStr">
        <is>
          <t>Dr. Robbie G. Majzner</t>
        </is>
      </c>
      <c r="D79" t="inlineStr">
        <is>
          <t>Biology &amp; Medicine</t>
        </is>
      </c>
      <c r="E79" t="inlineStr">
        <is>
          <t>SA-RA</t>
        </is>
      </c>
      <c r="F79" t="inlineStr">
        <is>
          <t>MITCH-ul</t>
        </is>
      </c>
      <c r="G79" t="inlineStr">
        <is>
          <t>sarmit21@mit.edu</t>
        </is>
      </c>
      <c r="H79" t="inlineStr">
        <is>
          <t>sarmit21</t>
        </is>
      </c>
    </row>
    <row r="80">
      <c r="A80" t="inlineStr">
        <is>
          <t>Sarah Dingli</t>
        </is>
      </c>
      <c r="B80" t="inlineStr">
        <is>
          <t>Computational and mathematical modeling of cellular dynamics in hydrogels to optimize large-scale bioprinting</t>
        </is>
      </c>
      <c r="C80" t="inlineStr">
        <is>
          <t>Prof. Ron Weiss</t>
        </is>
      </c>
      <c r="D80" t="inlineStr">
        <is>
          <t>Biology &amp; Medicine</t>
        </is>
      </c>
      <c r="E80" t="inlineStr">
        <is>
          <t>SAIR-ah</t>
        </is>
      </c>
      <c r="F80" t="inlineStr">
        <is>
          <t>DING-lee</t>
        </is>
      </c>
      <c r="G80" t="inlineStr">
        <is>
          <t>srdingli@mit.edu</t>
        </is>
      </c>
      <c r="H80" t="inlineStr">
        <is>
          <t>srdingli</t>
        </is>
      </c>
    </row>
    <row r="81">
      <c r="A81" t="inlineStr">
        <is>
          <t>Sarah Park</t>
        </is>
      </c>
      <c r="B81" t="inlineStr">
        <is>
          <t>The Mitotic Basis of the Human Mind</t>
        </is>
      </c>
      <c r="C81" t="inlineStr">
        <is>
          <t>Prof. James Michaelson</t>
        </is>
      </c>
      <c r="D81" t="inlineStr">
        <is>
          <t>Biology &amp; Medicine</t>
        </is>
      </c>
      <c r="E81" t="inlineStr">
        <is>
          <t>SAIR-ah</t>
        </is>
      </c>
      <c r="F81" t="inlineStr">
        <is>
          <t>PARK</t>
        </is>
      </c>
      <c r="G81" t="inlineStr">
        <is>
          <t>sgpark@mit.edu</t>
        </is>
      </c>
      <c r="H81" t="inlineStr">
        <is>
          <t>sgpark</t>
        </is>
      </c>
    </row>
    <row r="82">
      <c r="A82" t="inlineStr">
        <is>
          <t>Selene Manzo</t>
        </is>
      </c>
      <c r="B82" t="inlineStr">
        <is>
          <t>Frog Search: A New Way to Measure Guidance by Color in Visual Search</t>
        </is>
      </c>
      <c r="C82" t="inlineStr">
        <is>
          <t>Prof. Jeremy Wolfe</t>
        </is>
      </c>
      <c r="D82" t="inlineStr">
        <is>
          <t>Neuroscience &amp; Psychology</t>
        </is>
      </c>
      <c r="E82" t="inlineStr">
        <is>
          <t>seh-LEEN (English) or seh-LEE-neh (Spanish)</t>
        </is>
      </c>
      <c r="F82" t="inlineStr">
        <is>
          <t>MAHN-zoh</t>
        </is>
      </c>
      <c r="G82" t="inlineStr">
        <is>
          <t>selenem@mit.edu</t>
        </is>
      </c>
      <c r="H82" t="inlineStr">
        <is>
          <t>selenem</t>
        </is>
      </c>
    </row>
    <row r="83">
      <c r="A83" t="inlineStr">
        <is>
          <t>Shaden Alharbi</t>
        </is>
      </c>
      <c r="B83" t="inlineStr">
        <is>
          <t>Characterization of Nanobody Binding to HIV-1 Capsid-Like Particles via Biolayer Interferometry</t>
        </is>
      </c>
      <c r="C83" t="inlineStr">
        <is>
          <t>Dr. Ky Lowenhaupt</t>
        </is>
      </c>
      <c r="D83" t="inlineStr">
        <is>
          <t>Biology &amp; Medicine</t>
        </is>
      </c>
      <c r="E83" t="inlineStr">
        <is>
          <t>SHAH-den</t>
        </is>
      </c>
      <c r="F83" t="inlineStr">
        <is>
          <t>al-HAR-bee</t>
        </is>
      </c>
      <c r="G83" t="inlineStr">
        <is>
          <t>shadenfm@mit.edu</t>
        </is>
      </c>
      <c r="H83" t="inlineStr">
        <is>
          <t>shadenfm</t>
        </is>
      </c>
    </row>
    <row r="84">
      <c r="A84" t="inlineStr">
        <is>
          <t>Shrivali Gupta</t>
        </is>
      </c>
      <c r="B84" t="inlineStr">
        <is>
          <t>Examining the Relationship Between Executive Function and Behavioural Outcomes in Children</t>
        </is>
      </c>
      <c r="C84" t="inlineStr">
        <is>
          <t>Prof. John D. E. Gabrieli</t>
        </is>
      </c>
      <c r="D84" t="inlineStr">
        <is>
          <t>Neuroscience &amp; Psychology</t>
        </is>
      </c>
      <c r="E84" t="inlineStr">
        <is>
          <t>shrih-VUH-lee</t>
        </is>
      </c>
      <c r="F84" t="inlineStr">
        <is>
          <t>GOOP-tah</t>
        </is>
      </c>
      <c r="G84" t="inlineStr">
        <is>
          <t>shrivali@mit.edu</t>
        </is>
      </c>
      <c r="H84" t="inlineStr">
        <is>
          <t>shrivali</t>
        </is>
      </c>
    </row>
    <row r="85">
      <c r="A85" t="inlineStr">
        <is>
          <t>Siddhi Kochar</t>
        </is>
      </c>
      <c r="B85" t="inlineStr">
        <is>
          <t>Constraints on Cosmic Reionization and the Thomson Optical Depth via the Population III.1 Flash Model</t>
        </is>
      </c>
      <c r="C85" t="inlineStr">
        <is>
          <t>Dr. James Sullivan</t>
        </is>
      </c>
      <c r="D85" t="inlineStr">
        <is>
          <t>Astronomy &amp; Planetary Science</t>
        </is>
      </c>
      <c r="E85" t="inlineStr">
        <is>
          <t>SID-hee</t>
        </is>
      </c>
      <c r="F85" t="inlineStr">
        <is>
          <t>KOH-char</t>
        </is>
      </c>
      <c r="G85" t="inlineStr">
        <is>
          <t>siddhik@mit.edu</t>
        </is>
      </c>
      <c r="H85" t="inlineStr">
        <is>
          <t>siddhik</t>
        </is>
      </c>
    </row>
    <row r="86">
      <c r="A86" t="inlineStr">
        <is>
          <t>Sirius Sun</t>
        </is>
      </c>
      <c r="B86" t="inlineStr">
        <is>
          <t>(Title TBD)</t>
        </is>
      </c>
      <c r="C86" t="inlineStr">
        <is>
          <t>Ryota Inagaki</t>
        </is>
      </c>
      <c r="D86" t="inlineStr">
        <is>
          <t>Math</t>
        </is>
      </c>
      <c r="E86" t="inlineStr">
        <is>
          <t>SEER-ee-us</t>
        </is>
      </c>
      <c r="F86" t="inlineStr">
        <is>
          <t>SUN</t>
        </is>
      </c>
      <c r="G86" t="inlineStr">
        <is>
          <t>sirius_s@mit.edu</t>
        </is>
      </c>
      <c r="H86" t="inlineStr">
        <is>
          <t>sirius_s</t>
        </is>
      </c>
    </row>
    <row r="87">
      <c r="A87" t="inlineStr">
        <is>
          <t>Sofia Passos</t>
        </is>
      </c>
      <c r="B87" t="inlineStr">
        <is>
          <t>Predicted glycolytic reprogramming in a microglial substate across neurodegenerative diseases.</t>
        </is>
      </c>
      <c r="C87" t="inlineStr">
        <is>
          <t>Dr. Sudeshna Das</t>
        </is>
      </c>
      <c r="D87" t="inlineStr">
        <is>
          <t>Biology &amp; Medicine</t>
        </is>
      </c>
      <c r="E87" t="inlineStr">
        <is>
          <t>soh-FEE-ah</t>
        </is>
      </c>
      <c r="F87" t="inlineStr">
        <is>
          <t>PAH-sohs</t>
        </is>
      </c>
      <c r="G87" t="inlineStr">
        <is>
          <t>sofia937@mit.edu</t>
        </is>
      </c>
      <c r="H87" t="inlineStr">
        <is>
          <t>sofia937</t>
        </is>
      </c>
    </row>
    <row r="88">
      <c r="A88" t="inlineStr">
        <is>
          <t>Sophia Zhao</t>
        </is>
      </c>
      <c r="B88" t="inlineStr">
        <is>
          <t>Reachability-Based Path Planning Across Autonomous Ocean Vehicles Platforms</t>
        </is>
      </c>
      <c r="C88" t="inlineStr">
        <is>
          <t>Prof. Pierre F.J Lermusiaux</t>
        </is>
      </c>
      <c r="D88" t="inlineStr">
        <is>
          <t>Earth, Ocean &amp; Climate</t>
        </is>
      </c>
      <c r="E88" t="inlineStr">
        <is>
          <t>soh-FEE-ah</t>
        </is>
      </c>
      <c r="F88" t="inlineStr">
        <is>
          <t>JOW</t>
        </is>
      </c>
      <c r="G88" t="inlineStr">
        <is>
          <t>sophiawz@mit.edu</t>
        </is>
      </c>
      <c r="H88" t="inlineStr">
        <is>
          <t>sophiawz</t>
        </is>
      </c>
    </row>
    <row r="89">
      <c r="A89" t="inlineStr">
        <is>
          <t>Sowmya Sankaran</t>
        </is>
      </c>
      <c r="B89" t="inlineStr">
        <is>
          <t>The Talking Risk Calculator: An Agentic Pipeline for Multi-Factor Cancer Risk Assessment</t>
        </is>
      </c>
      <c r="C89" t="inlineStr">
        <is>
          <t>Dr. Cong Liu, Dr. Kamalakkannan Ravi</t>
        </is>
      </c>
      <c r="D89" t="inlineStr">
        <is>
          <t>Computer Science &amp; AI</t>
        </is>
      </c>
      <c r="E89" t="inlineStr">
        <is>
          <t>SOWM-yah</t>
        </is>
      </c>
      <c r="F89" t="inlineStr">
        <is>
          <t>SAHN-kah-run</t>
        </is>
      </c>
      <c r="G89" t="inlineStr">
        <is>
          <t>sowmya44@mit.edu</t>
        </is>
      </c>
      <c r="H89" t="inlineStr">
        <is>
          <t>sowmya44</t>
        </is>
      </c>
    </row>
    <row r="90">
      <c r="A90" t="inlineStr">
        <is>
          <t>Sylvia Lee</t>
        </is>
      </c>
      <c r="B90" t="inlineStr">
        <is>
          <t>Life is a Game: Learning Dynamical Systems with Neural Cellular Automata</t>
        </is>
      </c>
      <c r="C90" t="inlineStr">
        <is>
          <t>Ashu Tripathi</t>
        </is>
      </c>
      <c r="D90" t="inlineStr">
        <is>
          <t>Physics</t>
        </is>
      </c>
      <c r="E90" t="inlineStr">
        <is>
          <t>SIL-vee-ah</t>
        </is>
      </c>
      <c r="F90" t="inlineStr">
        <is>
          <t>LEE</t>
        </is>
      </c>
      <c r="G90" t="inlineStr">
        <is>
          <t>szl129@mit.edu</t>
        </is>
      </c>
      <c r="H90" t="inlineStr">
        <is>
          <t>szl129</t>
        </is>
      </c>
    </row>
    <row r="91">
      <c r="A91" t="inlineStr">
        <is>
          <t>Tanay Arora</t>
        </is>
      </c>
      <c r="B91" t="inlineStr">
        <is>
          <t>AutoOnboarding Agentic LLMs</t>
        </is>
      </c>
      <c r="C91" t="inlineStr">
        <is>
          <t>Dr. Cong Liu, Dr. Kamalakkannan Ravi</t>
        </is>
      </c>
      <c r="D91" t="inlineStr">
        <is>
          <t>Computer Science &amp; AI</t>
        </is>
      </c>
      <c r="E91" t="inlineStr">
        <is>
          <t>tah-NAY</t>
        </is>
      </c>
      <c r="F91" t="inlineStr">
        <is>
          <t>ah-ROH-rah</t>
        </is>
      </c>
      <c r="G91" t="inlineStr">
        <is>
          <t>tarora@mit.edu</t>
        </is>
      </c>
      <c r="H91" t="inlineStr">
        <is>
          <t>tarora</t>
        </is>
      </c>
    </row>
    <row r="92">
      <c r="A92" t="inlineStr">
        <is>
          <t>Tara Saini</t>
        </is>
      </c>
      <c r="B92" t="inlineStr">
        <is>
          <t>Enumerating Index-Two and Index-Three Nilpotent Matrices in Symplectic Lie Algebras</t>
        </is>
      </c>
      <c r="C92" t="inlineStr">
        <is>
          <t>Prof. Eric Grinberg</t>
        </is>
      </c>
      <c r="D92" t="inlineStr">
        <is>
          <t>Math</t>
        </is>
      </c>
      <c r="E92" t="inlineStr">
        <is>
          <t>TAH-rah</t>
        </is>
      </c>
      <c r="F92" t="inlineStr">
        <is>
          <t>SAY-nee</t>
        </is>
      </c>
      <c r="G92" t="inlineStr">
        <is>
          <t>tsaini@mit.edu</t>
        </is>
      </c>
      <c r="H92" t="inlineStr">
        <is>
          <t>tsaini</t>
        </is>
      </c>
    </row>
    <row r="93">
      <c r="A93" t="inlineStr">
        <is>
          <t>Timothy Chen</t>
        </is>
      </c>
      <c r="B93" t="inlineStr">
        <is>
          <t>Open Cases of the Colmez Conjecture</t>
        </is>
      </c>
      <c r="C93" t="inlineStr">
        <is>
          <t>Ayan Nath</t>
        </is>
      </c>
      <c r="D93" t="inlineStr">
        <is>
          <t>Math</t>
        </is>
      </c>
      <c r="E93" t="inlineStr">
        <is>
          <t>TIM-oh-thee</t>
        </is>
      </c>
      <c r="F93" t="inlineStr">
        <is>
          <t>CHEN</t>
        </is>
      </c>
      <c r="G93" t="inlineStr">
        <is>
          <t>ctimothy@mit.edu</t>
        </is>
      </c>
      <c r="H93" t="inlineStr">
        <is>
          <t>ctimothy</t>
        </is>
      </c>
    </row>
    <row r="94">
      <c r="A94" t="inlineStr">
        <is>
          <t>Tony Lu</t>
        </is>
      </c>
      <c r="B94" t="inlineStr">
        <is>
          <t>Asymptotics for Curve Shortening Flow with Boundary</t>
        </is>
      </c>
      <c r="C94" t="inlineStr">
        <is>
          <t>Alexander McWeeney</t>
        </is>
      </c>
      <c r="D94" t="inlineStr">
        <is>
          <t>Math</t>
        </is>
      </c>
      <c r="E94" t="inlineStr">
        <is>
          <t>TOH-nee</t>
        </is>
      </c>
      <c r="F94" t="inlineStr">
        <is>
          <t>LOO</t>
        </is>
      </c>
      <c r="G94" t="inlineStr">
        <is>
          <t>tlu27@mit.edu</t>
        </is>
      </c>
      <c r="H94" t="inlineStr">
        <is>
          <t>tlu27</t>
        </is>
      </c>
    </row>
    <row r="95">
      <c r="A95" t="inlineStr">
        <is>
          <t>Tristan Sun</t>
        </is>
      </c>
      <c r="B95" t="inlineStr">
        <is>
          <t>Comorbidity-shaped cell states in Alzheimer’s disease: a single-nucleus dissection of 15 clinical phenotypes</t>
        </is>
      </c>
      <c r="C95" t="inlineStr">
        <is>
          <t>Prof. Manolis Kellis</t>
        </is>
      </c>
      <c r="D95" t="inlineStr">
        <is>
          <t>Biology &amp; Medicine</t>
        </is>
      </c>
      <c r="E95" t="inlineStr">
        <is>
          <t>TRIS-tun</t>
        </is>
      </c>
      <c r="F95" t="inlineStr">
        <is>
          <t>SUN</t>
        </is>
      </c>
      <c r="G95" t="inlineStr">
        <is>
          <t>tris@mit.edu</t>
        </is>
      </c>
      <c r="H95" t="inlineStr">
        <is>
          <t>tris</t>
        </is>
      </c>
    </row>
    <row r="96">
      <c r="A96" t="inlineStr">
        <is>
          <t>Xindi Luo</t>
        </is>
      </c>
      <c r="B96" t="inlineStr">
        <is>
          <t>Triangular Taxicabs</t>
        </is>
      </c>
      <c r="C96" t="inlineStr">
        <is>
          <t>Prof. Eric Grinberg</t>
        </is>
      </c>
      <c r="D96" t="inlineStr">
        <is>
          <t>Math</t>
        </is>
      </c>
      <c r="E96" t="inlineStr">
        <is>
          <t>SHIN-dee</t>
        </is>
      </c>
      <c r="F96" t="inlineStr">
        <is>
          <t>LWOH</t>
        </is>
      </c>
      <c r="G96" t="inlineStr">
        <is>
          <t>xindi578@mit.edu</t>
        </is>
      </c>
      <c r="H96" t="inlineStr">
        <is>
          <t>xindi578</t>
        </is>
      </c>
    </row>
    <row r="97">
      <c r="A97" t="inlineStr">
        <is>
          <t>Yernar Doskhan</t>
        </is>
      </c>
      <c r="B97" t="inlineStr">
        <is>
          <t>Vibration Mitigation for Atomic-Resolution Imaging in Scanning Four-Probe Microscopy</t>
        </is>
      </c>
      <c r="C97" t="inlineStr">
        <is>
          <t>Prof. Jenny Hoffman</t>
        </is>
      </c>
      <c r="D97" t="inlineStr">
        <is>
          <t>Physics</t>
        </is>
      </c>
      <c r="E97" t="inlineStr">
        <is>
          <t>yair-NAR</t>
        </is>
      </c>
      <c r="F97" t="inlineStr">
        <is>
          <t>DOSS-kahn</t>
        </is>
      </c>
      <c r="G97" t="inlineStr">
        <is>
          <t>doskhan@mit.edu</t>
        </is>
      </c>
      <c r="H97" t="inlineStr">
        <is>
          <t>doskhan</t>
        </is>
      </c>
    </row>
    <row r="98">
      <c r="A98" t="inlineStr">
        <is>
          <t>Yong Ding</t>
        </is>
      </c>
      <c r="B98" t="inlineStr">
        <is>
          <t>Quantifying Information Propagation in Diffusion Posterior Sampling for Ocean Flows</t>
        </is>
      </c>
      <c r="C98" t="inlineStr">
        <is>
          <t>Prof. Pierre F.J Lermusiaux</t>
        </is>
      </c>
      <c r="D98" t="inlineStr">
        <is>
          <t>Earth, Ocean &amp; Climate</t>
        </is>
      </c>
      <c r="E98" t="inlineStr">
        <is>
          <t>YONG</t>
        </is>
      </c>
      <c r="F98" t="inlineStr">
        <is>
          <t>DING</t>
        </is>
      </c>
      <c r="G98" t="inlineStr">
        <is>
          <t>yding27@mit.edu</t>
        </is>
      </c>
      <c r="H98" t="inlineStr">
        <is>
          <t>yding27</t>
        </is>
      </c>
    </row>
    <row r="99">
      <c r="A99" t="inlineStr">
        <is>
          <t>Yoon Seo Pyo</t>
        </is>
      </c>
      <c r="B99" t="inlineStr">
        <is>
          <t>Forecasting Seizure Spread in Epilepsy Patients Using Deep Learning Models of Electroencephalographic Activity</t>
        </is>
      </c>
      <c r="C99" t="inlineStr">
        <is>
          <t>Vighnesh Subramaniam</t>
        </is>
      </c>
      <c r="D99" t="inlineStr">
        <is>
          <t>Neuroscience &amp; Psychology</t>
        </is>
      </c>
      <c r="E99" t="inlineStr">
        <is>
          <t>YOON SEH-oh</t>
        </is>
      </c>
      <c r="F99" t="inlineStr">
        <is>
          <t>PYOH</t>
        </is>
      </c>
      <c r="G99" t="inlineStr">
        <is>
          <t>yspyo@mit.edu</t>
        </is>
      </c>
      <c r="H99" t="inlineStr">
        <is>
          <t>yspyo</t>
        </is>
      </c>
    </row>
    <row r="100">
      <c r="A100" t="inlineStr">
        <is>
          <t>Zephyr Larson</t>
        </is>
      </c>
      <c r="B100" t="inlineStr">
        <is>
          <t>Understanding the Role of Radiative Feedbacks and Forcings in the Land-Sea Warming Contrast</t>
        </is>
      </c>
      <c r="C100" t="inlineStr">
        <is>
          <t>Prof. Paul O'Gorman</t>
        </is>
      </c>
      <c r="D100" t="inlineStr">
        <is>
          <t>Earth, Ocean &amp; Climate</t>
        </is>
      </c>
      <c r="E100" t="inlineStr">
        <is>
          <t>ZEF-er</t>
        </is>
      </c>
      <c r="F100" t="inlineStr">
        <is>
          <t>LAR-sun</t>
        </is>
      </c>
      <c r="G100" t="inlineStr">
        <is>
          <t>zephyr27@mit.edu</t>
        </is>
      </c>
      <c r="H100" t="inlineStr">
        <is>
          <t>zephyr27</t>
        </is>
      </c>
    </row>
    <row r="101">
      <c r="A101" t="inlineStr">
        <is>
          <t>Álvaro Daniel Villafuerte González</t>
        </is>
      </c>
      <c r="B101" t="inlineStr">
        <is>
          <t>Towards Scaling Laws For Long-Horizon Software Engineering Agents</t>
        </is>
      </c>
      <c r="C101" t="inlineStr">
        <is>
          <t>Prof. Manolis Kellis</t>
        </is>
      </c>
      <c r="D101" t="inlineStr">
        <is>
          <t>Computer Science &amp; AI</t>
        </is>
      </c>
      <c r="E101" t="inlineStr">
        <is>
          <t>AHL-vah-ro Daniel</t>
        </is>
      </c>
      <c r="F101" t="inlineStr">
        <is>
          <t>vee-ya-FWER-teh gon-SAH-les</t>
        </is>
      </c>
      <c r="G101" t="inlineStr">
        <is>
          <t>advg@mit.edu</t>
        </is>
      </c>
      <c r="H101" t="inlineStr">
        <is>
          <t>advg</t>
        </is>
      </c>
    </row>
  </sheetData>
  <autoFilter ref="A1:H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5" customWidth="1" min="3" max="3"/>
    <col width="42" customWidth="1" min="4" max="4"/>
    <col width="22" customWidth="1" min="5" max="5"/>
    <col width="22" customWidth="1" min="6" max="6"/>
    <col width="15" customWidth="1" min="7" max="7"/>
    <col width="42" customWidth="1" min="8" max="8"/>
    <col width="22" customWidth="1" min="9" max="9"/>
    <col width="22" customWidth="1" min="10" max="10"/>
    <col width="15" customWidth="1" min="11" max="11"/>
    <col width="42" customWidth="1" min="12" max="12"/>
    <col width="22" customWidth="1" min="13" max="13"/>
  </cols>
  <sheetData>
    <row r="1">
      <c r="A1" s="2" t="inlineStr">
        <is>
          <t>RSI 2026 Symposium Schedule</t>
        </is>
      </c>
    </row>
    <row r="2">
      <c r="A2" s="3" t="inlineStr">
        <is>
          <t>Edit a Name cell to reassign a slot -- Field / Title / Mentor update automatically.</t>
        </is>
      </c>
    </row>
    <row r="5">
      <c r="A5" s="4" t="inlineStr">
        <is>
          <t>Thursday, August 6, 2026</t>
        </is>
      </c>
    </row>
    <row r="6">
      <c r="A6" s="5" t="inlineStr">
        <is>
          <t>Morning Session</t>
        </is>
      </c>
    </row>
    <row r="7">
      <c r="A7" s="6" t="inlineStr">
        <is>
          <t>Time</t>
        </is>
      </c>
      <c r="B7" s="7" t="inlineStr">
        <is>
          <t>Room 32-124</t>
        </is>
      </c>
      <c r="F7" s="7" t="inlineStr">
        <is>
          <t>Room 32-141</t>
        </is>
      </c>
      <c r="J7" s="7" t="inlineStr">
        <is>
          <t>Room 32-155</t>
        </is>
      </c>
    </row>
    <row r="8">
      <c r="B8" s="8" t="inlineStr">
        <is>
          <t>Name</t>
        </is>
      </c>
      <c r="C8" s="8" t="inlineStr">
        <is>
          <t>Field</t>
        </is>
      </c>
      <c r="D8" s="8" t="inlineStr">
        <is>
          <t>Title</t>
        </is>
      </c>
      <c r="E8" s="8" t="inlineStr">
        <is>
          <t>Mentor</t>
        </is>
      </c>
      <c r="F8" s="8" t="inlineStr">
        <is>
          <t>Name</t>
        </is>
      </c>
      <c r="G8" s="8" t="inlineStr">
        <is>
          <t>Field</t>
        </is>
      </c>
      <c r="H8" s="8" t="inlineStr">
        <is>
          <t>Title</t>
        </is>
      </c>
      <c r="I8" s="8" t="inlineStr">
        <is>
          <t>Mentor</t>
        </is>
      </c>
      <c r="J8" s="8" t="inlineStr">
        <is>
          <t>Name</t>
        </is>
      </c>
      <c r="K8" s="8" t="inlineStr">
        <is>
          <t>Field</t>
        </is>
      </c>
      <c r="L8" s="8" t="inlineStr">
        <is>
          <t>Title</t>
        </is>
      </c>
      <c r="M8" s="8" t="inlineStr">
        <is>
          <t>Mentor</t>
        </is>
      </c>
    </row>
    <row r="9">
      <c r="A9" s="9" t="inlineStr">
        <is>
          <t>9:00 AM – 9:16 AM</t>
        </is>
      </c>
      <c r="B9" s="10" t="inlineStr">
        <is>
          <t>Anushka Tonapi</t>
        </is>
      </c>
      <c r="C9" s="11">
        <f>IFERROR(VLOOKUP($B9,Data!$A:$D,4,FALSE),"")</f>
        <v/>
      </c>
      <c r="D9" s="11">
        <f>IFERROR(VLOOKUP($B9,Data!$A:$D,2,FALSE),"")</f>
        <v/>
      </c>
      <c r="E9" s="11">
        <f>IFERROR(VLOOKUP($B9,Data!$A:$D,3,FALSE),"")</f>
        <v/>
      </c>
      <c r="F9" s="10" t="inlineStr">
        <is>
          <t>Riya Mehrotra</t>
        </is>
      </c>
      <c r="G9" s="11">
        <f>IFERROR(VLOOKUP($F9,Data!$A:$D,4,FALSE),"")</f>
        <v/>
      </c>
      <c r="H9" s="11">
        <f>IFERROR(VLOOKUP($F9,Data!$A:$D,2,FALSE),"")</f>
        <v/>
      </c>
      <c r="I9" s="11">
        <f>IFERROR(VLOOKUP($F9,Data!$A:$D,3,FALSE),"")</f>
        <v/>
      </c>
      <c r="J9" s="10" t="inlineStr">
        <is>
          <t>Yernar Doskhan</t>
        </is>
      </c>
      <c r="K9" s="11">
        <f>IFERROR(VLOOKUP($J9,Data!$A:$D,4,FALSE),"")</f>
        <v/>
      </c>
      <c r="L9" s="11">
        <f>IFERROR(VLOOKUP($J9,Data!$A:$D,2,FALSE),"")</f>
        <v/>
      </c>
      <c r="M9" s="11">
        <f>IFERROR(VLOOKUP($J9,Data!$A:$D,3,FALSE),"")</f>
        <v/>
      </c>
    </row>
    <row r="10">
      <c r="A10" s="9" t="inlineStr">
        <is>
          <t>9:16 AM – 9:32 AM</t>
        </is>
      </c>
      <c r="B10" s="10" t="inlineStr">
        <is>
          <t>Grisham Paimagam</t>
        </is>
      </c>
      <c r="C10" s="11">
        <f>IFERROR(VLOOKUP($B10,Data!$A:$D,4,FALSE),"")</f>
        <v/>
      </c>
      <c r="D10" s="11">
        <f>IFERROR(VLOOKUP($B10,Data!$A:$D,2,FALSE),"")</f>
        <v/>
      </c>
      <c r="E10" s="11">
        <f>IFERROR(VLOOKUP($B10,Data!$A:$D,3,FALSE),"")</f>
        <v/>
      </c>
      <c r="F10" s="10" t="inlineStr">
        <is>
          <t>Tara Saini</t>
        </is>
      </c>
      <c r="G10" s="11">
        <f>IFERROR(VLOOKUP($F10,Data!$A:$D,4,FALSE),"")</f>
        <v/>
      </c>
      <c r="H10" s="11">
        <f>IFERROR(VLOOKUP($F10,Data!$A:$D,2,FALSE),"")</f>
        <v/>
      </c>
      <c r="I10" s="11">
        <f>IFERROR(VLOOKUP($F10,Data!$A:$D,3,FALSE),"")</f>
        <v/>
      </c>
      <c r="J10" s="10" t="inlineStr">
        <is>
          <t>Cooper Ho</t>
        </is>
      </c>
      <c r="K10" s="11">
        <f>IFERROR(VLOOKUP($J10,Data!$A:$D,4,FALSE),"")</f>
        <v/>
      </c>
      <c r="L10" s="11">
        <f>IFERROR(VLOOKUP($J10,Data!$A:$D,2,FALSE),"")</f>
        <v/>
      </c>
      <c r="M10" s="11">
        <f>IFERROR(VLOOKUP($J10,Data!$A:$D,3,FALSE),"")</f>
        <v/>
      </c>
    </row>
    <row r="11">
      <c r="A11" s="9" t="inlineStr">
        <is>
          <t>9:32 AM – 9:48 AM</t>
        </is>
      </c>
      <c r="B11" s="10" t="inlineStr">
        <is>
          <t>Katrina Liu</t>
        </is>
      </c>
      <c r="C11" s="11">
        <f>IFERROR(VLOOKUP($B11,Data!$A:$D,4,FALSE),"")</f>
        <v/>
      </c>
      <c r="D11" s="11">
        <f>IFERROR(VLOOKUP($B11,Data!$A:$D,2,FALSE),"")</f>
        <v/>
      </c>
      <c r="E11" s="11">
        <f>IFERROR(VLOOKUP($B11,Data!$A:$D,3,FALSE),"")</f>
        <v/>
      </c>
      <c r="F11" s="10" t="inlineStr">
        <is>
          <t>Xindi Luo</t>
        </is>
      </c>
      <c r="G11" s="11">
        <f>IFERROR(VLOOKUP($F11,Data!$A:$D,4,FALSE),"")</f>
        <v/>
      </c>
      <c r="H11" s="11">
        <f>IFERROR(VLOOKUP($F11,Data!$A:$D,2,FALSE),"")</f>
        <v/>
      </c>
      <c r="I11" s="11">
        <f>IFERROR(VLOOKUP($F11,Data!$A:$D,3,FALSE),"")</f>
        <v/>
      </c>
      <c r="J11" s="10" t="inlineStr">
        <is>
          <t>Lillie Lin Li</t>
        </is>
      </c>
      <c r="K11" s="11">
        <f>IFERROR(VLOOKUP($J11,Data!$A:$D,4,FALSE),"")</f>
        <v/>
      </c>
      <c r="L11" s="11">
        <f>IFERROR(VLOOKUP($J11,Data!$A:$D,2,FALSE),"")</f>
        <v/>
      </c>
      <c r="M11" s="11">
        <f>IFERROR(VLOOKUP($J11,Data!$A:$D,3,FALSE),"")</f>
        <v/>
      </c>
    </row>
    <row r="12">
      <c r="A12" s="9" t="inlineStr">
        <is>
          <t>9:48 AM – 10:04 AM</t>
        </is>
      </c>
      <c r="B12" s="10" t="inlineStr">
        <is>
          <t>Lincoln Liu</t>
        </is>
      </c>
      <c r="C12" s="11">
        <f>IFERROR(VLOOKUP($B12,Data!$A:$D,4,FALSE),"")</f>
        <v/>
      </c>
      <c r="D12" s="11">
        <f>IFERROR(VLOOKUP($B12,Data!$A:$D,2,FALSE),"")</f>
        <v/>
      </c>
      <c r="E12" s="11">
        <f>IFERROR(VLOOKUP($B12,Data!$A:$D,3,FALSE),"")</f>
        <v/>
      </c>
      <c r="F12" s="10" t="inlineStr">
        <is>
          <t>Asher Wang</t>
        </is>
      </c>
      <c r="G12" s="11">
        <f>IFERROR(VLOOKUP($F12,Data!$A:$D,4,FALSE),"")</f>
        <v/>
      </c>
      <c r="H12" s="11">
        <f>IFERROR(VLOOKUP($F12,Data!$A:$D,2,FALSE),"")</f>
        <v/>
      </c>
      <c r="I12" s="11">
        <f>IFERROR(VLOOKUP($F12,Data!$A:$D,3,FALSE),"")</f>
        <v/>
      </c>
      <c r="J12" s="10" t="inlineStr">
        <is>
          <t>Eason Turner</t>
        </is>
      </c>
      <c r="K12" s="11">
        <f>IFERROR(VLOOKUP($J12,Data!$A:$D,4,FALSE),"")</f>
        <v/>
      </c>
      <c r="L12" s="11">
        <f>IFERROR(VLOOKUP($J12,Data!$A:$D,2,FALSE),"")</f>
        <v/>
      </c>
      <c r="M12" s="11">
        <f>IFERROR(VLOOKUP($J12,Data!$A:$D,3,FALSE),"")</f>
        <v/>
      </c>
    </row>
    <row r="13">
      <c r="A13" s="9" t="inlineStr">
        <is>
          <t>10:04 AM – 10:20 AM</t>
        </is>
      </c>
      <c r="B13" s="10" t="inlineStr">
        <is>
          <t>Tony Lu</t>
        </is>
      </c>
      <c r="C13" s="11">
        <f>IFERROR(VLOOKUP($B13,Data!$A:$D,4,FALSE),"")</f>
        <v/>
      </c>
      <c r="D13" s="11">
        <f>IFERROR(VLOOKUP($B13,Data!$A:$D,2,FALSE),"")</f>
        <v/>
      </c>
      <c r="E13" s="11">
        <f>IFERROR(VLOOKUP($B13,Data!$A:$D,3,FALSE),"")</f>
        <v/>
      </c>
      <c r="F13" s="10" t="inlineStr">
        <is>
          <t>Azaria Tsegaye</t>
        </is>
      </c>
      <c r="G13" s="11">
        <f>IFERROR(VLOOKUP($F13,Data!$A:$D,4,FALSE),"")</f>
        <v/>
      </c>
      <c r="H13" s="11">
        <f>IFERROR(VLOOKUP($F13,Data!$A:$D,2,FALSE),"")</f>
        <v/>
      </c>
      <c r="I13" s="11">
        <f>IFERROR(VLOOKUP($F13,Data!$A:$D,3,FALSE),"")</f>
        <v/>
      </c>
      <c r="J13" s="10" t="inlineStr">
        <is>
          <t>Kai Xuen Toh</t>
        </is>
      </c>
      <c r="K13" s="11">
        <f>IFERROR(VLOOKUP($J13,Data!$A:$D,4,FALSE),"")</f>
        <v/>
      </c>
      <c r="L13" s="11">
        <f>IFERROR(VLOOKUP($J13,Data!$A:$D,2,FALSE),"")</f>
        <v/>
      </c>
      <c r="M13" s="11">
        <f>IFERROR(VLOOKUP($J13,Data!$A:$D,3,FALSE),"")</f>
        <v/>
      </c>
    </row>
    <row r="14">
      <c r="A14" s="9" t="inlineStr">
        <is>
          <t>10:20 AM – 10:36 AM</t>
        </is>
      </c>
      <c r="B14" s="10" t="inlineStr">
        <is>
          <t>Michael Luo</t>
        </is>
      </c>
      <c r="C14" s="11">
        <f>IFERROR(VLOOKUP($B14,Data!$A:$D,4,FALSE),"")</f>
        <v/>
      </c>
      <c r="D14" s="11">
        <f>IFERROR(VLOOKUP($B14,Data!$A:$D,2,FALSE),"")</f>
        <v/>
      </c>
      <c r="E14" s="11">
        <f>IFERROR(VLOOKUP($B14,Data!$A:$D,3,FALSE),"")</f>
        <v/>
      </c>
      <c r="F14" s="10" t="inlineStr">
        <is>
          <t>Dhruv Jain</t>
        </is>
      </c>
      <c r="G14" s="11">
        <f>IFERROR(VLOOKUP($F14,Data!$A:$D,4,FALSE),"")</f>
        <v/>
      </c>
      <c r="H14" s="11">
        <f>IFERROR(VLOOKUP($F14,Data!$A:$D,2,FALSE),"")</f>
        <v/>
      </c>
      <c r="I14" s="11">
        <f>IFERROR(VLOOKUP($F14,Data!$A:$D,3,FALSE),"")</f>
        <v/>
      </c>
      <c r="J14" s="10" t="inlineStr">
        <is>
          <t>Siddhi Kochar</t>
        </is>
      </c>
      <c r="K14" s="11">
        <f>IFERROR(VLOOKUP($J14,Data!$A:$D,4,FALSE),"")</f>
        <v/>
      </c>
      <c r="L14" s="11">
        <f>IFERROR(VLOOKUP($J14,Data!$A:$D,2,FALSE),"")</f>
        <v/>
      </c>
      <c r="M14" s="11">
        <f>IFERROR(VLOOKUP($J14,Data!$A:$D,3,FALSE),"")</f>
        <v/>
      </c>
    </row>
    <row r="15">
      <c r="A15" s="9" t="inlineStr">
        <is>
          <t>10:36 AM – 10:52 AM</t>
        </is>
      </c>
      <c r="B15" s="10" t="inlineStr">
        <is>
          <t>Sirius Sun</t>
        </is>
      </c>
      <c r="C15" s="11">
        <f>IFERROR(VLOOKUP($B15,Data!$A:$D,4,FALSE),"")</f>
        <v/>
      </c>
      <c r="D15" s="11">
        <f>IFERROR(VLOOKUP($B15,Data!$A:$D,2,FALSE),"")</f>
        <v/>
      </c>
      <c r="E15" s="11">
        <f>IFERROR(VLOOKUP($B15,Data!$A:$D,3,FALSE),"")</f>
        <v/>
      </c>
      <c r="F15" s="10" t="inlineStr">
        <is>
          <t>Lluc Simon</t>
        </is>
      </c>
      <c r="G15" s="11">
        <f>IFERROR(VLOOKUP($F15,Data!$A:$D,4,FALSE),"")</f>
        <v/>
      </c>
      <c r="H15" s="11">
        <f>IFERROR(VLOOKUP($F15,Data!$A:$D,2,FALSE),"")</f>
        <v/>
      </c>
      <c r="I15" s="11">
        <f>IFERROR(VLOOKUP($F15,Data!$A:$D,3,FALSE),"")</f>
        <v/>
      </c>
      <c r="J15" s="10" t="inlineStr"/>
      <c r="K15" s="11">
        <f>IFERROR(VLOOKUP($J15,Data!$A:$D,4,FALSE),"")</f>
        <v/>
      </c>
      <c r="L15" s="11">
        <f>IFERROR(VLOOKUP($J15,Data!$A:$D,2,FALSE),"")</f>
        <v/>
      </c>
      <c r="M15" s="11">
        <f>IFERROR(VLOOKUP($J15,Data!$A:$D,3,FALSE),"")</f>
        <v/>
      </c>
    </row>
    <row r="16">
      <c r="A16" s="9" t="inlineStr">
        <is>
          <t>10:52 AM – 11:08 AM</t>
        </is>
      </c>
      <c r="B16" s="10" t="inlineStr">
        <is>
          <t>Nikola Veselinov</t>
        </is>
      </c>
      <c r="C16" s="11">
        <f>IFERROR(VLOOKUP($B16,Data!$A:$D,4,FALSE),"")</f>
        <v/>
      </c>
      <c r="D16" s="11">
        <f>IFERROR(VLOOKUP($B16,Data!$A:$D,2,FALSE),"")</f>
        <v/>
      </c>
      <c r="E16" s="11">
        <f>IFERROR(VLOOKUP($B16,Data!$A:$D,3,FALSE),"")</f>
        <v/>
      </c>
      <c r="F16" s="10" t="inlineStr">
        <is>
          <t>Mikołaj Stefaniak</t>
        </is>
      </c>
      <c r="G16" s="11">
        <f>IFERROR(VLOOKUP($F16,Data!$A:$D,4,FALSE),"")</f>
        <v/>
      </c>
      <c r="H16" s="11">
        <f>IFERROR(VLOOKUP($F16,Data!$A:$D,2,FALSE),"")</f>
        <v/>
      </c>
      <c r="I16" s="11">
        <f>IFERROR(VLOOKUP($F16,Data!$A:$D,3,FALSE),"")</f>
        <v/>
      </c>
      <c r="J16" s="10" t="inlineStr"/>
      <c r="K16" s="11">
        <f>IFERROR(VLOOKUP($J16,Data!$A:$D,4,FALSE),"")</f>
        <v/>
      </c>
      <c r="L16" s="11">
        <f>IFERROR(VLOOKUP($J16,Data!$A:$D,2,FALSE),"")</f>
        <v/>
      </c>
      <c r="M16" s="11">
        <f>IFERROR(VLOOKUP($J16,Data!$A:$D,3,FALSE),"")</f>
        <v/>
      </c>
    </row>
    <row r="17">
      <c r="A17" s="9" t="inlineStr">
        <is>
          <t>11:08 AM – 11:24 AM</t>
        </is>
      </c>
      <c r="B17" s="10" t="inlineStr">
        <is>
          <t>Timothy Chen</t>
        </is>
      </c>
      <c r="C17" s="11">
        <f>IFERROR(VLOOKUP($B17,Data!$A:$D,4,FALSE),"")</f>
        <v/>
      </c>
      <c r="D17" s="11">
        <f>IFERROR(VLOOKUP($B17,Data!$A:$D,2,FALSE),"")</f>
        <v/>
      </c>
      <c r="E17" s="11">
        <f>IFERROR(VLOOKUP($B17,Data!$A:$D,3,FALSE),"")</f>
        <v/>
      </c>
      <c r="F17" s="10" t="inlineStr">
        <is>
          <t>Miguel Shim</t>
        </is>
      </c>
      <c r="G17" s="11">
        <f>IFERROR(VLOOKUP($F17,Data!$A:$D,4,FALSE),"")</f>
        <v/>
      </c>
      <c r="H17" s="11">
        <f>IFERROR(VLOOKUP($F17,Data!$A:$D,2,FALSE),"")</f>
        <v/>
      </c>
      <c r="I17" s="11">
        <f>IFERROR(VLOOKUP($F17,Data!$A:$D,3,FALSE),"")</f>
        <v/>
      </c>
      <c r="J17" s="10" t="inlineStr"/>
      <c r="K17" s="11">
        <f>IFERROR(VLOOKUP($J17,Data!$A:$D,4,FALSE),"")</f>
        <v/>
      </c>
      <c r="L17" s="11">
        <f>IFERROR(VLOOKUP($J17,Data!$A:$D,2,FALSE),"")</f>
        <v/>
      </c>
      <c r="M17" s="11">
        <f>IFERROR(VLOOKUP($J17,Data!$A:$D,3,FALSE),"")</f>
        <v/>
      </c>
    </row>
    <row r="18">
      <c r="A18" s="9" t="inlineStr">
        <is>
          <t>11:24 AM – 11:40 AM</t>
        </is>
      </c>
      <c r="B18" s="10" t="inlineStr"/>
      <c r="C18" s="11">
        <f>IFERROR(VLOOKUP($B18,Data!$A:$D,4,FALSE),"")</f>
        <v/>
      </c>
      <c r="D18" s="11">
        <f>IFERROR(VLOOKUP($B18,Data!$A:$D,2,FALSE),"")</f>
        <v/>
      </c>
      <c r="E18" s="11">
        <f>IFERROR(VLOOKUP($B18,Data!$A:$D,3,FALSE),"")</f>
        <v/>
      </c>
      <c r="F18" s="10" t="inlineStr">
        <is>
          <t>Sylvia Lee</t>
        </is>
      </c>
      <c r="G18" s="11">
        <f>IFERROR(VLOOKUP($F18,Data!$A:$D,4,FALSE),"")</f>
        <v/>
      </c>
      <c r="H18" s="11">
        <f>IFERROR(VLOOKUP($F18,Data!$A:$D,2,FALSE),"")</f>
        <v/>
      </c>
      <c r="I18" s="11">
        <f>IFERROR(VLOOKUP($F18,Data!$A:$D,3,FALSE),"")</f>
        <v/>
      </c>
      <c r="J18" s="10" t="inlineStr"/>
      <c r="K18" s="11">
        <f>IFERROR(VLOOKUP($J18,Data!$A:$D,4,FALSE),"")</f>
        <v/>
      </c>
      <c r="L18" s="11">
        <f>IFERROR(VLOOKUP($J18,Data!$A:$D,2,FALSE),"")</f>
        <v/>
      </c>
      <c r="M18" s="11">
        <f>IFERROR(VLOOKUP($J18,Data!$A:$D,3,FALSE),"")</f>
        <v/>
      </c>
    </row>
    <row r="19">
      <c r="A19" s="12" t="inlineStr">
        <is>
          <t>Lunch Break (12:00 PM – 1:00 PM)</t>
        </is>
      </c>
    </row>
    <row r="20">
      <c r="A20" s="5" t="inlineStr">
        <is>
          <t>Afternoon Session</t>
        </is>
      </c>
    </row>
    <row r="21">
      <c r="A21" s="6" t="inlineStr">
        <is>
          <t>Time</t>
        </is>
      </c>
      <c r="B21" s="7" t="inlineStr">
        <is>
          <t>Room 32-124</t>
        </is>
      </c>
      <c r="F21" s="7" t="inlineStr">
        <is>
          <t>Room 32-141</t>
        </is>
      </c>
      <c r="J21" s="7" t="inlineStr">
        <is>
          <t>Room 32-155</t>
        </is>
      </c>
    </row>
    <row r="22">
      <c r="B22" s="8" t="inlineStr">
        <is>
          <t>Name</t>
        </is>
      </c>
      <c r="C22" s="8" t="inlineStr">
        <is>
          <t>Field</t>
        </is>
      </c>
      <c r="D22" s="8" t="inlineStr">
        <is>
          <t>Title</t>
        </is>
      </c>
      <c r="E22" s="8" t="inlineStr">
        <is>
          <t>Mentor</t>
        </is>
      </c>
      <c r="F22" s="8" t="inlineStr">
        <is>
          <t>Name</t>
        </is>
      </c>
      <c r="G22" s="8" t="inlineStr">
        <is>
          <t>Field</t>
        </is>
      </c>
      <c r="H22" s="8" t="inlineStr">
        <is>
          <t>Title</t>
        </is>
      </c>
      <c r="I22" s="8" t="inlineStr">
        <is>
          <t>Mentor</t>
        </is>
      </c>
      <c r="J22" s="8" t="inlineStr">
        <is>
          <t>Name</t>
        </is>
      </c>
      <c r="K22" s="8" t="inlineStr">
        <is>
          <t>Field</t>
        </is>
      </c>
      <c r="L22" s="8" t="inlineStr">
        <is>
          <t>Title</t>
        </is>
      </c>
      <c r="M22" s="8" t="inlineStr">
        <is>
          <t>Mentor</t>
        </is>
      </c>
    </row>
    <row r="23">
      <c r="A23" s="9" t="inlineStr">
        <is>
          <t>1:00 PM – 1:16 PM</t>
        </is>
      </c>
      <c r="B23" s="10" t="inlineStr">
        <is>
          <t>Aaryan Patel</t>
        </is>
      </c>
      <c r="C23" s="11">
        <f>IFERROR(VLOOKUP($B23,Data!$A:$D,4,FALSE),"")</f>
        <v/>
      </c>
      <c r="D23" s="11">
        <f>IFERROR(VLOOKUP($B23,Data!$A:$D,2,FALSE),"")</f>
        <v/>
      </c>
      <c r="E23" s="11">
        <f>IFERROR(VLOOKUP($B23,Data!$A:$D,3,FALSE),"")</f>
        <v/>
      </c>
      <c r="F23" s="10" t="inlineStr">
        <is>
          <t>Jay Athipatla</t>
        </is>
      </c>
      <c r="G23" s="11">
        <f>IFERROR(VLOOKUP($F23,Data!$A:$D,4,FALSE),"")</f>
        <v/>
      </c>
      <c r="H23" s="11">
        <f>IFERROR(VLOOKUP($F23,Data!$A:$D,2,FALSE),"")</f>
        <v/>
      </c>
      <c r="I23" s="11">
        <f>IFERROR(VLOOKUP($F23,Data!$A:$D,3,FALSE),"")</f>
        <v/>
      </c>
      <c r="J23" s="10" t="inlineStr">
        <is>
          <t>Annika Chadha</t>
        </is>
      </c>
      <c r="K23" s="11">
        <f>IFERROR(VLOOKUP($J23,Data!$A:$D,4,FALSE),"")</f>
        <v/>
      </c>
      <c r="L23" s="11">
        <f>IFERROR(VLOOKUP($J23,Data!$A:$D,2,FALSE),"")</f>
        <v/>
      </c>
      <c r="M23" s="11">
        <f>IFERROR(VLOOKUP($J23,Data!$A:$D,3,FALSE),"")</f>
        <v/>
      </c>
    </row>
    <row r="24">
      <c r="A24" s="9" t="inlineStr">
        <is>
          <t>1:16 PM – 1:32 PM</t>
        </is>
      </c>
      <c r="B24" s="10" t="inlineStr">
        <is>
          <t>Andy Jo</t>
        </is>
      </c>
      <c r="C24" s="11">
        <f>IFERROR(VLOOKUP($B24,Data!$A:$D,4,FALSE),"")</f>
        <v/>
      </c>
      <c r="D24" s="11">
        <f>IFERROR(VLOOKUP($B24,Data!$A:$D,2,FALSE),"")</f>
        <v/>
      </c>
      <c r="E24" s="11">
        <f>IFERROR(VLOOKUP($B24,Data!$A:$D,3,FALSE),"")</f>
        <v/>
      </c>
      <c r="F24" s="10" t="inlineStr">
        <is>
          <t>Leyu Girma</t>
        </is>
      </c>
      <c r="G24" s="11">
        <f>IFERROR(VLOOKUP($F24,Data!$A:$D,4,FALSE),"")</f>
        <v/>
      </c>
      <c r="H24" s="11">
        <f>IFERROR(VLOOKUP($F24,Data!$A:$D,2,FALSE),"")</f>
        <v/>
      </c>
      <c r="I24" s="11">
        <f>IFERROR(VLOOKUP($F24,Data!$A:$D,3,FALSE),"")</f>
        <v/>
      </c>
      <c r="J24" s="10" t="inlineStr">
        <is>
          <t>Dex Theisen</t>
        </is>
      </c>
      <c r="K24" s="11">
        <f>IFERROR(VLOOKUP($J24,Data!$A:$D,4,FALSE),"")</f>
        <v/>
      </c>
      <c r="L24" s="11">
        <f>IFERROR(VLOOKUP($J24,Data!$A:$D,2,FALSE),"")</f>
        <v/>
      </c>
      <c r="M24" s="11">
        <f>IFERROR(VLOOKUP($J24,Data!$A:$D,3,FALSE),"")</f>
        <v/>
      </c>
    </row>
    <row r="25">
      <c r="A25" s="9" t="inlineStr">
        <is>
          <t>1:32 PM – 1:48 PM</t>
        </is>
      </c>
      <c r="B25" s="10" t="inlineStr">
        <is>
          <t>Jay Desai</t>
        </is>
      </c>
      <c r="C25" s="11">
        <f>IFERROR(VLOOKUP($B25,Data!$A:$D,4,FALSE),"")</f>
        <v/>
      </c>
      <c r="D25" s="11">
        <f>IFERROR(VLOOKUP($B25,Data!$A:$D,2,FALSE),"")</f>
        <v/>
      </c>
      <c r="E25" s="11">
        <f>IFERROR(VLOOKUP($B25,Data!$A:$D,3,FALSE),"")</f>
        <v/>
      </c>
      <c r="F25" s="10" t="inlineStr">
        <is>
          <t>Sowmya Sankaran</t>
        </is>
      </c>
      <c r="G25" s="11">
        <f>IFERROR(VLOOKUP($F25,Data!$A:$D,4,FALSE),"")</f>
        <v/>
      </c>
      <c r="H25" s="11">
        <f>IFERROR(VLOOKUP($F25,Data!$A:$D,2,FALSE),"")</f>
        <v/>
      </c>
      <c r="I25" s="11">
        <f>IFERROR(VLOOKUP($F25,Data!$A:$D,3,FALSE),"")</f>
        <v/>
      </c>
      <c r="J25" s="10" t="inlineStr">
        <is>
          <t>David Shi</t>
        </is>
      </c>
      <c r="K25" s="11">
        <f>IFERROR(VLOOKUP($J25,Data!$A:$D,4,FALSE),"")</f>
        <v/>
      </c>
      <c r="L25" s="11">
        <f>IFERROR(VLOOKUP($J25,Data!$A:$D,2,FALSE),"")</f>
        <v/>
      </c>
      <c r="M25" s="11">
        <f>IFERROR(VLOOKUP($J25,Data!$A:$D,3,FALSE),"")</f>
        <v/>
      </c>
    </row>
    <row r="26">
      <c r="A26" s="9" t="inlineStr">
        <is>
          <t>1:48 PM – 2:04 PM</t>
        </is>
      </c>
      <c r="B26" s="10" t="inlineStr">
        <is>
          <t>Alejandro Mayorga</t>
        </is>
      </c>
      <c r="C26" s="11">
        <f>IFERROR(VLOOKUP($B26,Data!$A:$D,4,FALSE),"")</f>
        <v/>
      </c>
      <c r="D26" s="11">
        <f>IFERROR(VLOOKUP($B26,Data!$A:$D,2,FALSE),"")</f>
        <v/>
      </c>
      <c r="E26" s="11">
        <f>IFERROR(VLOOKUP($B26,Data!$A:$D,3,FALSE),"")</f>
        <v/>
      </c>
      <c r="F26" s="10" t="inlineStr">
        <is>
          <t>Tanay Arora</t>
        </is>
      </c>
      <c r="G26" s="11">
        <f>IFERROR(VLOOKUP($F26,Data!$A:$D,4,FALSE),"")</f>
        <v/>
      </c>
      <c r="H26" s="11">
        <f>IFERROR(VLOOKUP($F26,Data!$A:$D,2,FALSE),"")</f>
        <v/>
      </c>
      <c r="I26" s="11">
        <f>IFERROR(VLOOKUP($F26,Data!$A:$D,3,FALSE),"")</f>
        <v/>
      </c>
      <c r="J26" s="10" t="inlineStr">
        <is>
          <t>David Wang</t>
        </is>
      </c>
      <c r="K26" s="11">
        <f>IFERROR(VLOOKUP($J26,Data!$A:$D,4,FALSE),"")</f>
        <v/>
      </c>
      <c r="L26" s="11">
        <f>IFERROR(VLOOKUP($J26,Data!$A:$D,2,FALSE),"")</f>
        <v/>
      </c>
      <c r="M26" s="11">
        <f>IFERROR(VLOOKUP($J26,Data!$A:$D,3,FALSE),"")</f>
        <v/>
      </c>
    </row>
    <row r="27">
      <c r="A27" s="9" t="inlineStr">
        <is>
          <t>2:04 PM – 2:20 PM</t>
        </is>
      </c>
      <c r="B27" s="10" t="inlineStr">
        <is>
          <t>Eric Buehler</t>
        </is>
      </c>
      <c r="C27" s="11">
        <f>IFERROR(VLOOKUP($B27,Data!$A:$D,4,FALSE),"")</f>
        <v/>
      </c>
      <c r="D27" s="11">
        <f>IFERROR(VLOOKUP($B27,Data!$A:$D,2,FALSE),"")</f>
        <v/>
      </c>
      <c r="E27" s="11">
        <f>IFERROR(VLOOKUP($B27,Data!$A:$D,3,FALSE),"")</f>
        <v/>
      </c>
      <c r="F27" s="10" t="inlineStr">
        <is>
          <t>Daniel Guo</t>
        </is>
      </c>
      <c r="G27" s="11">
        <f>IFERROR(VLOOKUP($F27,Data!$A:$D,4,FALSE),"")</f>
        <v/>
      </c>
      <c r="H27" s="11">
        <f>IFERROR(VLOOKUP($F27,Data!$A:$D,2,FALSE),"")</f>
        <v/>
      </c>
      <c r="I27" s="11">
        <f>IFERROR(VLOOKUP($F27,Data!$A:$D,3,FALSE),"")</f>
        <v/>
      </c>
      <c r="J27" s="10" t="inlineStr">
        <is>
          <t>Pavan Subramani</t>
        </is>
      </c>
      <c r="K27" s="11">
        <f>IFERROR(VLOOKUP($J27,Data!$A:$D,4,FALSE),"")</f>
        <v/>
      </c>
      <c r="L27" s="11">
        <f>IFERROR(VLOOKUP($J27,Data!$A:$D,2,FALSE),"")</f>
        <v/>
      </c>
      <c r="M27" s="11">
        <f>IFERROR(VLOOKUP($J27,Data!$A:$D,3,FALSE),"")</f>
        <v/>
      </c>
    </row>
    <row r="28">
      <c r="A28" s="9" t="inlineStr">
        <is>
          <t>2:20 PM – 2:36 PM</t>
        </is>
      </c>
      <c r="B28" s="10" t="inlineStr">
        <is>
          <t>Layth Alzahrani</t>
        </is>
      </c>
      <c r="C28" s="11">
        <f>IFERROR(VLOOKUP($B28,Data!$A:$D,4,FALSE),"")</f>
        <v/>
      </c>
      <c r="D28" s="11">
        <f>IFERROR(VLOOKUP($B28,Data!$A:$D,2,FALSE),"")</f>
        <v/>
      </c>
      <c r="E28" s="11">
        <f>IFERROR(VLOOKUP($B28,Data!$A:$D,3,FALSE),"")</f>
        <v/>
      </c>
      <c r="F28" s="10" t="inlineStr">
        <is>
          <t>Jordan Chong</t>
        </is>
      </c>
      <c r="G28" s="11">
        <f>IFERROR(VLOOKUP($F28,Data!$A:$D,4,FALSE),"")</f>
        <v/>
      </c>
      <c r="H28" s="11">
        <f>IFERROR(VLOOKUP($F28,Data!$A:$D,2,FALSE),"")</f>
        <v/>
      </c>
      <c r="I28" s="11">
        <f>IFERROR(VLOOKUP($F28,Data!$A:$D,3,FALSE),"")</f>
        <v/>
      </c>
      <c r="J28" s="10" t="inlineStr"/>
      <c r="K28" s="11">
        <f>IFERROR(VLOOKUP($J28,Data!$A:$D,4,FALSE),"")</f>
        <v/>
      </c>
      <c r="L28" s="11">
        <f>IFERROR(VLOOKUP($J28,Data!$A:$D,2,FALSE),"")</f>
        <v/>
      </c>
      <c r="M28" s="11">
        <f>IFERROR(VLOOKUP($J28,Data!$A:$D,3,FALSE),"")</f>
        <v/>
      </c>
    </row>
    <row r="29">
      <c r="A29" s="9" t="inlineStr">
        <is>
          <t>2:36 PM – 2:52 PM</t>
        </is>
      </c>
      <c r="B29" s="10" t="inlineStr">
        <is>
          <t>Benson Hsueh</t>
        </is>
      </c>
      <c r="C29" s="11">
        <f>IFERROR(VLOOKUP($B29,Data!$A:$D,4,FALSE),"")</f>
        <v/>
      </c>
      <c r="D29" s="11">
        <f>IFERROR(VLOOKUP($B29,Data!$A:$D,2,FALSE),"")</f>
        <v/>
      </c>
      <c r="E29" s="11">
        <f>IFERROR(VLOOKUP($B29,Data!$A:$D,3,FALSE),"")</f>
        <v/>
      </c>
      <c r="F29" s="10" t="inlineStr">
        <is>
          <t>Logan Duran</t>
        </is>
      </c>
      <c r="G29" s="11">
        <f>IFERROR(VLOOKUP($F29,Data!$A:$D,4,FALSE),"")</f>
        <v/>
      </c>
      <c r="H29" s="11">
        <f>IFERROR(VLOOKUP($F29,Data!$A:$D,2,FALSE),"")</f>
        <v/>
      </c>
      <c r="I29" s="11">
        <f>IFERROR(VLOOKUP($F29,Data!$A:$D,3,FALSE),"")</f>
        <v/>
      </c>
      <c r="J29" s="10" t="inlineStr"/>
      <c r="K29" s="11">
        <f>IFERROR(VLOOKUP($J29,Data!$A:$D,4,FALSE),"")</f>
        <v/>
      </c>
      <c r="L29" s="11">
        <f>IFERROR(VLOOKUP($J29,Data!$A:$D,2,FALSE),"")</f>
        <v/>
      </c>
      <c r="M29" s="11">
        <f>IFERROR(VLOOKUP($J29,Data!$A:$D,3,FALSE),"")</f>
        <v/>
      </c>
    </row>
    <row r="30">
      <c r="A30" s="9" t="inlineStr">
        <is>
          <t>2:52 PM – 3:08 PM</t>
        </is>
      </c>
      <c r="B30" s="10" t="inlineStr">
        <is>
          <t>Matey Minev</t>
        </is>
      </c>
      <c r="C30" s="11">
        <f>IFERROR(VLOOKUP($B30,Data!$A:$D,4,FALSE),"")</f>
        <v/>
      </c>
      <c r="D30" s="11">
        <f>IFERROR(VLOOKUP($B30,Data!$A:$D,2,FALSE),"")</f>
        <v/>
      </c>
      <c r="E30" s="11">
        <f>IFERROR(VLOOKUP($B30,Data!$A:$D,3,FALSE),"")</f>
        <v/>
      </c>
      <c r="F30" s="10" t="inlineStr">
        <is>
          <t>Mustafa Bakhodirov</t>
        </is>
      </c>
      <c r="G30" s="11">
        <f>IFERROR(VLOOKUP($F30,Data!$A:$D,4,FALSE),"")</f>
        <v/>
      </c>
      <c r="H30" s="11">
        <f>IFERROR(VLOOKUP($F30,Data!$A:$D,2,FALSE),"")</f>
        <v/>
      </c>
      <c r="I30" s="11">
        <f>IFERROR(VLOOKUP($F30,Data!$A:$D,3,FALSE),"")</f>
        <v/>
      </c>
      <c r="J30" s="10" t="inlineStr"/>
      <c r="K30" s="11">
        <f>IFERROR(VLOOKUP($J30,Data!$A:$D,4,FALSE),"")</f>
        <v/>
      </c>
      <c r="L30" s="11">
        <f>IFERROR(VLOOKUP($J30,Data!$A:$D,2,FALSE),"")</f>
        <v/>
      </c>
      <c r="M30" s="11">
        <f>IFERROR(VLOOKUP($J30,Data!$A:$D,3,FALSE),"")</f>
        <v/>
      </c>
    </row>
    <row r="31">
      <c r="A31" s="9" t="inlineStr">
        <is>
          <t>3:08 PM – 3:24 PM</t>
        </is>
      </c>
      <c r="B31" s="10" t="inlineStr">
        <is>
          <t>Can Nalbantoglu</t>
        </is>
      </c>
      <c r="C31" s="11">
        <f>IFERROR(VLOOKUP($B31,Data!$A:$D,4,FALSE),"")</f>
        <v/>
      </c>
      <c r="D31" s="11">
        <f>IFERROR(VLOOKUP($B31,Data!$A:$D,2,FALSE),"")</f>
        <v/>
      </c>
      <c r="E31" s="11">
        <f>IFERROR(VLOOKUP($B31,Data!$A:$D,3,FALSE),"")</f>
        <v/>
      </c>
      <c r="F31" s="10" t="inlineStr"/>
      <c r="G31" s="11">
        <f>IFERROR(VLOOKUP($F31,Data!$A:$D,4,FALSE),"")</f>
        <v/>
      </c>
      <c r="H31" s="11">
        <f>IFERROR(VLOOKUP($F31,Data!$A:$D,2,FALSE),"")</f>
        <v/>
      </c>
      <c r="I31" s="11">
        <f>IFERROR(VLOOKUP($F31,Data!$A:$D,3,FALSE),"")</f>
        <v/>
      </c>
      <c r="J31" s="10" t="inlineStr"/>
      <c r="K31" s="11">
        <f>IFERROR(VLOOKUP($J31,Data!$A:$D,4,FALSE),"")</f>
        <v/>
      </c>
      <c r="L31" s="11">
        <f>IFERROR(VLOOKUP($J31,Data!$A:$D,2,FALSE),"")</f>
        <v/>
      </c>
      <c r="M31" s="11">
        <f>IFERROR(VLOOKUP($J31,Data!$A:$D,3,FALSE),"")</f>
        <v/>
      </c>
    </row>
    <row r="32">
      <c r="A32" s="9" t="inlineStr">
        <is>
          <t>3:24 PM – 3:40 PM</t>
        </is>
      </c>
      <c r="B32" s="10" t="inlineStr">
        <is>
          <t>Danu Kim</t>
        </is>
      </c>
      <c r="C32" s="11">
        <f>IFERROR(VLOOKUP($B32,Data!$A:$D,4,FALSE),"")</f>
        <v/>
      </c>
      <c r="D32" s="11">
        <f>IFERROR(VLOOKUP($B32,Data!$A:$D,2,FALSE),"")</f>
        <v/>
      </c>
      <c r="E32" s="11">
        <f>IFERROR(VLOOKUP($B32,Data!$A:$D,3,FALSE),"")</f>
        <v/>
      </c>
      <c r="F32" s="10" t="inlineStr"/>
      <c r="G32" s="11">
        <f>IFERROR(VLOOKUP($F32,Data!$A:$D,4,FALSE),"")</f>
        <v/>
      </c>
      <c r="H32" s="11">
        <f>IFERROR(VLOOKUP($F32,Data!$A:$D,2,FALSE),"")</f>
        <v/>
      </c>
      <c r="I32" s="11">
        <f>IFERROR(VLOOKUP($F32,Data!$A:$D,3,FALSE),"")</f>
        <v/>
      </c>
      <c r="J32" s="10" t="inlineStr"/>
      <c r="K32" s="11">
        <f>IFERROR(VLOOKUP($J32,Data!$A:$D,4,FALSE),"")</f>
        <v/>
      </c>
      <c r="L32" s="11">
        <f>IFERROR(VLOOKUP($J32,Data!$A:$D,2,FALSE),"")</f>
        <v/>
      </c>
      <c r="M32" s="11">
        <f>IFERROR(VLOOKUP($J32,Data!$A:$D,3,FALSE),"")</f>
        <v/>
      </c>
    </row>
    <row r="33">
      <c r="A33" s="9" t="inlineStr">
        <is>
          <t>3:40 PM – 3:56 PM</t>
        </is>
      </c>
      <c r="B33" s="10" t="inlineStr">
        <is>
          <t>Leonardo Bartoccini</t>
        </is>
      </c>
      <c r="C33" s="11">
        <f>IFERROR(VLOOKUP($B33,Data!$A:$D,4,FALSE),"")</f>
        <v/>
      </c>
      <c r="D33" s="11">
        <f>IFERROR(VLOOKUP($B33,Data!$A:$D,2,FALSE),"")</f>
        <v/>
      </c>
      <c r="E33" s="11">
        <f>IFERROR(VLOOKUP($B33,Data!$A:$D,3,FALSE),"")</f>
        <v/>
      </c>
      <c r="F33" s="10" t="inlineStr"/>
      <c r="G33" s="11">
        <f>IFERROR(VLOOKUP($F33,Data!$A:$D,4,FALSE),"")</f>
        <v/>
      </c>
      <c r="H33" s="11">
        <f>IFERROR(VLOOKUP($F33,Data!$A:$D,2,FALSE),"")</f>
        <v/>
      </c>
      <c r="I33" s="11">
        <f>IFERROR(VLOOKUP($F33,Data!$A:$D,3,FALSE),"")</f>
        <v/>
      </c>
      <c r="J33" s="10" t="inlineStr"/>
      <c r="K33" s="11">
        <f>IFERROR(VLOOKUP($J33,Data!$A:$D,4,FALSE),"")</f>
        <v/>
      </c>
      <c r="L33" s="11">
        <f>IFERROR(VLOOKUP($J33,Data!$A:$D,2,FALSE),"")</f>
        <v/>
      </c>
      <c r="M33" s="11">
        <f>IFERROR(VLOOKUP($J33,Data!$A:$D,3,FALSE),"")</f>
        <v/>
      </c>
    </row>
    <row r="34">
      <c r="A34" s="9" t="inlineStr">
        <is>
          <t>3:56 PM – 4:12 PM</t>
        </is>
      </c>
      <c r="B34" s="10" t="inlineStr">
        <is>
          <t>Namie Djaja</t>
        </is>
      </c>
      <c r="C34" s="11">
        <f>IFERROR(VLOOKUP($B34,Data!$A:$D,4,FALSE),"")</f>
        <v/>
      </c>
      <c r="D34" s="11">
        <f>IFERROR(VLOOKUP($B34,Data!$A:$D,2,FALSE),"")</f>
        <v/>
      </c>
      <c r="E34" s="11">
        <f>IFERROR(VLOOKUP($B34,Data!$A:$D,3,FALSE),"")</f>
        <v/>
      </c>
      <c r="F34" s="10" t="inlineStr"/>
      <c r="G34" s="11">
        <f>IFERROR(VLOOKUP($F34,Data!$A:$D,4,FALSE),"")</f>
        <v/>
      </c>
      <c r="H34" s="11">
        <f>IFERROR(VLOOKUP($F34,Data!$A:$D,2,FALSE),"")</f>
        <v/>
      </c>
      <c r="I34" s="11">
        <f>IFERROR(VLOOKUP($F34,Data!$A:$D,3,FALSE),"")</f>
        <v/>
      </c>
      <c r="J34" s="10" t="inlineStr"/>
      <c r="K34" s="11">
        <f>IFERROR(VLOOKUP($J34,Data!$A:$D,4,FALSE),"")</f>
        <v/>
      </c>
      <c r="L34" s="11">
        <f>IFERROR(VLOOKUP($J34,Data!$A:$D,2,FALSE),"")</f>
        <v/>
      </c>
      <c r="M34" s="11">
        <f>IFERROR(VLOOKUP($J34,Data!$A:$D,3,FALSE),"")</f>
        <v/>
      </c>
    </row>
    <row r="35">
      <c r="A35" s="9" t="inlineStr">
        <is>
          <t>4:12 PM – 4:28 PM</t>
        </is>
      </c>
      <c r="B35" s="10" t="inlineStr">
        <is>
          <t>Rohan Peddamallu</t>
        </is>
      </c>
      <c r="C35" s="11">
        <f>IFERROR(VLOOKUP($B35,Data!$A:$D,4,FALSE),"")</f>
        <v/>
      </c>
      <c r="D35" s="11">
        <f>IFERROR(VLOOKUP($B35,Data!$A:$D,2,FALSE),"")</f>
        <v/>
      </c>
      <c r="E35" s="11">
        <f>IFERROR(VLOOKUP($B35,Data!$A:$D,3,FALSE),"")</f>
        <v/>
      </c>
      <c r="F35" s="10" t="inlineStr"/>
      <c r="G35" s="11">
        <f>IFERROR(VLOOKUP($F35,Data!$A:$D,4,FALSE),"")</f>
        <v/>
      </c>
      <c r="H35" s="11">
        <f>IFERROR(VLOOKUP($F35,Data!$A:$D,2,FALSE),"")</f>
        <v/>
      </c>
      <c r="I35" s="11">
        <f>IFERROR(VLOOKUP($F35,Data!$A:$D,3,FALSE),"")</f>
        <v/>
      </c>
      <c r="J35" s="10" t="inlineStr"/>
      <c r="K35" s="11">
        <f>IFERROR(VLOOKUP($J35,Data!$A:$D,4,FALSE),"")</f>
        <v/>
      </c>
      <c r="L35" s="11">
        <f>IFERROR(VLOOKUP($J35,Data!$A:$D,2,FALSE),"")</f>
        <v/>
      </c>
      <c r="M35" s="11">
        <f>IFERROR(VLOOKUP($J35,Data!$A:$D,3,FALSE),"")</f>
        <v/>
      </c>
    </row>
    <row r="38">
      <c r="A38" s="4" t="inlineStr">
        <is>
          <t>Friday, August 7, 2026</t>
        </is>
      </c>
    </row>
    <row r="39">
      <c r="A39" s="5" t="inlineStr">
        <is>
          <t>Morning Session</t>
        </is>
      </c>
    </row>
    <row r="40">
      <c r="A40" s="6" t="inlineStr">
        <is>
          <t>Time</t>
        </is>
      </c>
      <c r="B40" s="7" t="inlineStr">
        <is>
          <t>Room 32-124</t>
        </is>
      </c>
      <c r="F40" s="7" t="inlineStr">
        <is>
          <t>Room 32-141</t>
        </is>
      </c>
      <c r="J40" s="7" t="inlineStr">
        <is>
          <t>Room 32-155</t>
        </is>
      </c>
    </row>
    <row r="41">
      <c r="B41" s="8" t="inlineStr">
        <is>
          <t>Name</t>
        </is>
      </c>
      <c r="C41" s="8" t="inlineStr">
        <is>
          <t>Field</t>
        </is>
      </c>
      <c r="D41" s="8" t="inlineStr">
        <is>
          <t>Title</t>
        </is>
      </c>
      <c r="E41" s="8" t="inlineStr">
        <is>
          <t>Mentor</t>
        </is>
      </c>
      <c r="F41" s="8" t="inlineStr">
        <is>
          <t>Name</t>
        </is>
      </c>
      <c r="G41" s="8" t="inlineStr">
        <is>
          <t>Field</t>
        </is>
      </c>
      <c r="H41" s="8" t="inlineStr">
        <is>
          <t>Title</t>
        </is>
      </c>
      <c r="I41" s="8" t="inlineStr">
        <is>
          <t>Mentor</t>
        </is>
      </c>
      <c r="J41" s="8" t="inlineStr">
        <is>
          <t>Name</t>
        </is>
      </c>
      <c r="K41" s="8" t="inlineStr">
        <is>
          <t>Field</t>
        </is>
      </c>
      <c r="L41" s="8" t="inlineStr">
        <is>
          <t>Title</t>
        </is>
      </c>
      <c r="M41" s="8" t="inlineStr">
        <is>
          <t>Mentor</t>
        </is>
      </c>
    </row>
    <row r="42">
      <c r="A42" s="9" t="inlineStr">
        <is>
          <t>9:00 AM – 9:16 AM</t>
        </is>
      </c>
      <c r="B42" s="10" t="inlineStr">
        <is>
          <t>Abigail Qi</t>
        </is>
      </c>
      <c r="C42" s="11">
        <f>IFERROR(VLOOKUP($B42,Data!$A:$D,4,FALSE),"")</f>
        <v/>
      </c>
      <c r="D42" s="11">
        <f>IFERROR(VLOOKUP($B42,Data!$A:$D,2,FALSE),"")</f>
        <v/>
      </c>
      <c r="E42" s="11">
        <f>IFERROR(VLOOKUP($B42,Data!$A:$D,3,FALSE),"")</f>
        <v/>
      </c>
      <c r="F42" s="10" t="inlineStr">
        <is>
          <t>Alex Ren</t>
        </is>
      </c>
      <c r="G42" s="11">
        <f>IFERROR(VLOOKUP($F42,Data!$A:$D,4,FALSE),"")</f>
        <v/>
      </c>
      <c r="H42" s="11">
        <f>IFERROR(VLOOKUP($F42,Data!$A:$D,2,FALSE),"")</f>
        <v/>
      </c>
      <c r="I42" s="11">
        <f>IFERROR(VLOOKUP($F42,Data!$A:$D,3,FALSE),"")</f>
        <v/>
      </c>
      <c r="J42" s="10" t="inlineStr">
        <is>
          <t>Cassidy Stocker</t>
        </is>
      </c>
      <c r="K42" s="11">
        <f>IFERROR(VLOOKUP($J42,Data!$A:$D,4,FALSE),"")</f>
        <v/>
      </c>
      <c r="L42" s="11">
        <f>IFERROR(VLOOKUP($J42,Data!$A:$D,2,FALSE),"")</f>
        <v/>
      </c>
      <c r="M42" s="11">
        <f>IFERROR(VLOOKUP($J42,Data!$A:$D,3,FALSE),"")</f>
        <v/>
      </c>
    </row>
    <row r="43">
      <c r="A43" s="9" t="inlineStr">
        <is>
          <t>9:16 AM – 9:32 AM</t>
        </is>
      </c>
      <c r="B43" s="10" t="inlineStr">
        <is>
          <t>Luke Itomura</t>
        </is>
      </c>
      <c r="C43" s="11">
        <f>IFERROR(VLOOKUP($B43,Data!$A:$D,4,FALSE),"")</f>
        <v/>
      </c>
      <c r="D43" s="11">
        <f>IFERROR(VLOOKUP($B43,Data!$A:$D,2,FALSE),"")</f>
        <v/>
      </c>
      <c r="E43" s="11">
        <f>IFERROR(VLOOKUP($B43,Data!$A:$D,3,FALSE),"")</f>
        <v/>
      </c>
      <c r="F43" s="10" t="inlineStr">
        <is>
          <t>Amogh Dattatri</t>
        </is>
      </c>
      <c r="G43" s="11">
        <f>IFERROR(VLOOKUP($F43,Data!$A:$D,4,FALSE),"")</f>
        <v/>
      </c>
      <c r="H43" s="11">
        <f>IFERROR(VLOOKUP($F43,Data!$A:$D,2,FALSE),"")</f>
        <v/>
      </c>
      <c r="I43" s="11">
        <f>IFERROR(VLOOKUP($F43,Data!$A:$D,3,FALSE),"")</f>
        <v/>
      </c>
      <c r="J43" s="10" t="inlineStr">
        <is>
          <t>Sara Mitchell</t>
        </is>
      </c>
      <c r="K43" s="11">
        <f>IFERROR(VLOOKUP($J43,Data!$A:$D,4,FALSE),"")</f>
        <v/>
      </c>
      <c r="L43" s="11">
        <f>IFERROR(VLOOKUP($J43,Data!$A:$D,2,FALSE),"")</f>
        <v/>
      </c>
      <c r="M43" s="11">
        <f>IFERROR(VLOOKUP($J43,Data!$A:$D,3,FALSE),"")</f>
        <v/>
      </c>
    </row>
    <row r="44">
      <c r="A44" s="9" t="inlineStr">
        <is>
          <t>9:32 AM – 9:48 AM</t>
        </is>
      </c>
      <c r="B44" s="10" t="inlineStr">
        <is>
          <t>Ahmed Sultan</t>
        </is>
      </c>
      <c r="C44" s="11">
        <f>IFERROR(VLOOKUP($B44,Data!$A:$D,4,FALSE),"")</f>
        <v/>
      </c>
      <c r="D44" s="11">
        <f>IFERROR(VLOOKUP($B44,Data!$A:$D,2,FALSE),"")</f>
        <v/>
      </c>
      <c r="E44" s="11">
        <f>IFERROR(VLOOKUP($B44,Data!$A:$D,3,FALSE),"")</f>
        <v/>
      </c>
      <c r="F44" s="10" t="inlineStr">
        <is>
          <t>Chloe Giglio</t>
        </is>
      </c>
      <c r="G44" s="11">
        <f>IFERROR(VLOOKUP($F44,Data!$A:$D,4,FALSE),"")</f>
        <v/>
      </c>
      <c r="H44" s="11">
        <f>IFERROR(VLOOKUP($F44,Data!$A:$D,2,FALSE),"")</f>
        <v/>
      </c>
      <c r="I44" s="11">
        <f>IFERROR(VLOOKUP($F44,Data!$A:$D,3,FALSE),"")</f>
        <v/>
      </c>
      <c r="J44" s="10" t="inlineStr">
        <is>
          <t>Greeshma Vinoy</t>
        </is>
      </c>
      <c r="K44" s="11">
        <f>IFERROR(VLOOKUP($J44,Data!$A:$D,4,FALSE),"")</f>
        <v/>
      </c>
      <c r="L44" s="11">
        <f>IFERROR(VLOOKUP($J44,Data!$A:$D,2,FALSE),"")</f>
        <v/>
      </c>
      <c r="M44" s="11">
        <f>IFERROR(VLOOKUP($J44,Data!$A:$D,3,FALSE),"")</f>
        <v/>
      </c>
    </row>
    <row r="45">
      <c r="A45" s="9" t="inlineStr">
        <is>
          <t>9:48 AM – 10:04 AM</t>
        </is>
      </c>
      <c r="B45" s="10" t="inlineStr">
        <is>
          <t>Alejandra Stephanie Perry</t>
        </is>
      </c>
      <c r="C45" s="11">
        <f>IFERROR(VLOOKUP($B45,Data!$A:$D,4,FALSE),"")</f>
        <v/>
      </c>
      <c r="D45" s="11">
        <f>IFERROR(VLOOKUP($B45,Data!$A:$D,2,FALSE),"")</f>
        <v/>
      </c>
      <c r="E45" s="11">
        <f>IFERROR(VLOOKUP($B45,Data!$A:$D,3,FALSE),"")</f>
        <v/>
      </c>
      <c r="F45" s="10" t="inlineStr">
        <is>
          <t>Ipek Zeynioğlu</t>
        </is>
      </c>
      <c r="G45" s="11">
        <f>IFERROR(VLOOKUP($F45,Data!$A:$D,4,FALSE),"")</f>
        <v/>
      </c>
      <c r="H45" s="11">
        <f>IFERROR(VLOOKUP($F45,Data!$A:$D,2,FALSE),"")</f>
        <v/>
      </c>
      <c r="I45" s="11">
        <f>IFERROR(VLOOKUP($F45,Data!$A:$D,3,FALSE),"")</f>
        <v/>
      </c>
      <c r="J45" s="10" t="inlineStr">
        <is>
          <t>Sofia Passos</t>
        </is>
      </c>
      <c r="K45" s="11">
        <f>IFERROR(VLOOKUP($J45,Data!$A:$D,4,FALSE),"")</f>
        <v/>
      </c>
      <c r="L45" s="11">
        <f>IFERROR(VLOOKUP($J45,Data!$A:$D,2,FALSE),"")</f>
        <v/>
      </c>
      <c r="M45" s="11">
        <f>IFERROR(VLOOKUP($J45,Data!$A:$D,3,FALSE),"")</f>
        <v/>
      </c>
    </row>
    <row r="46">
      <c r="A46" s="9" t="inlineStr">
        <is>
          <t>10:04 AM – 10:20 AM</t>
        </is>
      </c>
      <c r="B46" s="10" t="inlineStr">
        <is>
          <t>Ferris Li</t>
        </is>
      </c>
      <c r="C46" s="11">
        <f>IFERROR(VLOOKUP($B46,Data!$A:$D,4,FALSE),"")</f>
        <v/>
      </c>
      <c r="D46" s="11">
        <f>IFERROR(VLOOKUP($B46,Data!$A:$D,2,FALSE),"")</f>
        <v/>
      </c>
      <c r="E46" s="11">
        <f>IFERROR(VLOOKUP($B46,Data!$A:$D,3,FALSE),"")</f>
        <v/>
      </c>
      <c r="F46" s="10" t="inlineStr">
        <is>
          <t>Tristan Sun</t>
        </is>
      </c>
      <c r="G46" s="11">
        <f>IFERROR(VLOOKUP($F46,Data!$A:$D,4,FALSE),"")</f>
        <v/>
      </c>
      <c r="H46" s="11">
        <f>IFERROR(VLOOKUP($F46,Data!$A:$D,2,FALSE),"")</f>
        <v/>
      </c>
      <c r="I46" s="11">
        <f>IFERROR(VLOOKUP($F46,Data!$A:$D,3,FALSE),"")</f>
        <v/>
      </c>
      <c r="J46" s="10" t="inlineStr">
        <is>
          <t>Haya Mekdash</t>
        </is>
      </c>
      <c r="K46" s="11">
        <f>IFERROR(VLOOKUP($J46,Data!$A:$D,4,FALSE),"")</f>
        <v/>
      </c>
      <c r="L46" s="11">
        <f>IFERROR(VLOOKUP($J46,Data!$A:$D,2,FALSE),"")</f>
        <v/>
      </c>
      <c r="M46" s="11">
        <f>IFERROR(VLOOKUP($J46,Data!$A:$D,3,FALSE),"")</f>
        <v/>
      </c>
    </row>
    <row r="47">
      <c r="A47" s="9" t="inlineStr">
        <is>
          <t>10:20 AM – 10:36 AM</t>
        </is>
      </c>
      <c r="B47" s="10" t="inlineStr">
        <is>
          <t>Mahi Kohli</t>
        </is>
      </c>
      <c r="C47" s="11">
        <f>IFERROR(VLOOKUP($B47,Data!$A:$D,4,FALSE),"")</f>
        <v/>
      </c>
      <c r="D47" s="11">
        <f>IFERROR(VLOOKUP($B47,Data!$A:$D,2,FALSE),"")</f>
        <v/>
      </c>
      <c r="E47" s="11">
        <f>IFERROR(VLOOKUP($B47,Data!$A:$D,3,FALSE),"")</f>
        <v/>
      </c>
      <c r="F47" s="10" t="inlineStr">
        <is>
          <t>Álvaro Daniel Villafuerte González</t>
        </is>
      </c>
      <c r="G47" s="11">
        <f>IFERROR(VLOOKUP($F47,Data!$A:$D,4,FALSE),"")</f>
        <v/>
      </c>
      <c r="H47" s="11">
        <f>IFERROR(VLOOKUP($F47,Data!$A:$D,2,FALSE),"")</f>
        <v/>
      </c>
      <c r="I47" s="11">
        <f>IFERROR(VLOOKUP($F47,Data!$A:$D,3,FALSE),"")</f>
        <v/>
      </c>
      <c r="J47" s="10" t="inlineStr">
        <is>
          <t>Izzy Craciun</t>
        </is>
      </c>
      <c r="K47" s="11">
        <f>IFERROR(VLOOKUP($J47,Data!$A:$D,4,FALSE),"")</f>
        <v/>
      </c>
      <c r="L47" s="11">
        <f>IFERROR(VLOOKUP($J47,Data!$A:$D,2,FALSE),"")</f>
        <v/>
      </c>
      <c r="M47" s="11">
        <f>IFERROR(VLOOKUP($J47,Data!$A:$D,3,FALSE),"")</f>
        <v/>
      </c>
    </row>
    <row r="48">
      <c r="A48" s="9" t="inlineStr">
        <is>
          <t>10:36 AM – 10:52 AM</t>
        </is>
      </c>
      <c r="B48" s="10" t="inlineStr"/>
      <c r="C48" s="11">
        <f>IFERROR(VLOOKUP($B48,Data!$A:$D,4,FALSE),"")</f>
        <v/>
      </c>
      <c r="D48" s="11">
        <f>IFERROR(VLOOKUP($B48,Data!$A:$D,2,FALSE),"")</f>
        <v/>
      </c>
      <c r="E48" s="11">
        <f>IFERROR(VLOOKUP($B48,Data!$A:$D,3,FALSE),"")</f>
        <v/>
      </c>
      <c r="F48" s="10" t="inlineStr">
        <is>
          <t>Alexis Cho</t>
        </is>
      </c>
      <c r="G48" s="11">
        <f>IFERROR(VLOOKUP($F48,Data!$A:$D,4,FALSE),"")</f>
        <v/>
      </c>
      <c r="H48" s="11">
        <f>IFERROR(VLOOKUP($F48,Data!$A:$D,2,FALSE),"")</f>
        <v/>
      </c>
      <c r="I48" s="11">
        <f>IFERROR(VLOOKUP($F48,Data!$A:$D,3,FALSE),"")</f>
        <v/>
      </c>
      <c r="J48" s="10" t="inlineStr">
        <is>
          <t>Karim Mrad</t>
        </is>
      </c>
      <c r="K48" s="11">
        <f>IFERROR(VLOOKUP($J48,Data!$A:$D,4,FALSE),"")</f>
        <v/>
      </c>
      <c r="L48" s="11">
        <f>IFERROR(VLOOKUP($J48,Data!$A:$D,2,FALSE),"")</f>
        <v/>
      </c>
      <c r="M48" s="11">
        <f>IFERROR(VLOOKUP($J48,Data!$A:$D,3,FALSE),"")</f>
        <v/>
      </c>
    </row>
    <row r="49">
      <c r="A49" s="9" t="inlineStr">
        <is>
          <t>10:52 AM – 11:08 AM</t>
        </is>
      </c>
      <c r="B49" s="10" t="inlineStr"/>
      <c r="C49" s="11">
        <f>IFERROR(VLOOKUP($B49,Data!$A:$D,4,FALSE),"")</f>
        <v/>
      </c>
      <c r="D49" s="11">
        <f>IFERROR(VLOOKUP($B49,Data!$A:$D,2,FALSE),"")</f>
        <v/>
      </c>
      <c r="E49" s="11">
        <f>IFERROR(VLOOKUP($B49,Data!$A:$D,3,FALSE),"")</f>
        <v/>
      </c>
      <c r="F49" s="10" t="inlineStr">
        <is>
          <t>Hannah Thomas</t>
        </is>
      </c>
      <c r="G49" s="11">
        <f>IFERROR(VLOOKUP($F49,Data!$A:$D,4,FALSE),"")</f>
        <v/>
      </c>
      <c r="H49" s="11">
        <f>IFERROR(VLOOKUP($F49,Data!$A:$D,2,FALSE),"")</f>
        <v/>
      </c>
      <c r="I49" s="11">
        <f>IFERROR(VLOOKUP($F49,Data!$A:$D,3,FALSE),"")</f>
        <v/>
      </c>
      <c r="J49" s="10" t="inlineStr">
        <is>
          <t>Lara Otico</t>
        </is>
      </c>
      <c r="K49" s="11">
        <f>IFERROR(VLOOKUP($J49,Data!$A:$D,4,FALSE),"")</f>
        <v/>
      </c>
      <c r="L49" s="11">
        <f>IFERROR(VLOOKUP($J49,Data!$A:$D,2,FALSE),"")</f>
        <v/>
      </c>
      <c r="M49" s="11">
        <f>IFERROR(VLOOKUP($J49,Data!$A:$D,3,FALSE),"")</f>
        <v/>
      </c>
    </row>
    <row r="50">
      <c r="A50" s="9" t="inlineStr">
        <is>
          <t>11:08 AM – 11:24 AM</t>
        </is>
      </c>
      <c r="B50" s="10" t="inlineStr"/>
      <c r="C50" s="11">
        <f>IFERROR(VLOOKUP($B50,Data!$A:$D,4,FALSE),"")</f>
        <v/>
      </c>
      <c r="D50" s="11">
        <f>IFERROR(VLOOKUP($B50,Data!$A:$D,2,FALSE),"")</f>
        <v/>
      </c>
      <c r="E50" s="11">
        <f>IFERROR(VLOOKUP($B50,Data!$A:$D,3,FALSE),"")</f>
        <v/>
      </c>
      <c r="F50" s="10" t="inlineStr">
        <is>
          <t>Amritha Praveen</t>
        </is>
      </c>
      <c r="G50" s="11">
        <f>IFERROR(VLOOKUP($F50,Data!$A:$D,4,FALSE),"")</f>
        <v/>
      </c>
      <c r="H50" s="11">
        <f>IFERROR(VLOOKUP($F50,Data!$A:$D,2,FALSE),"")</f>
        <v/>
      </c>
      <c r="I50" s="11">
        <f>IFERROR(VLOOKUP($F50,Data!$A:$D,3,FALSE),"")</f>
        <v/>
      </c>
      <c r="J50" s="10" t="inlineStr">
        <is>
          <t>Lucia Chen</t>
        </is>
      </c>
      <c r="K50" s="11">
        <f>IFERROR(VLOOKUP($J50,Data!$A:$D,4,FALSE),"")</f>
        <v/>
      </c>
      <c r="L50" s="11">
        <f>IFERROR(VLOOKUP($J50,Data!$A:$D,2,FALSE),"")</f>
        <v/>
      </c>
      <c r="M50" s="11">
        <f>IFERROR(VLOOKUP($J50,Data!$A:$D,3,FALSE),"")</f>
        <v/>
      </c>
    </row>
    <row r="51">
      <c r="A51" s="9" t="inlineStr">
        <is>
          <t>11:24 AM – 11:40 AM</t>
        </is>
      </c>
      <c r="B51" s="10" t="inlineStr"/>
      <c r="C51" s="11">
        <f>IFERROR(VLOOKUP($B51,Data!$A:$D,4,FALSE),"")</f>
        <v/>
      </c>
      <c r="D51" s="11">
        <f>IFERROR(VLOOKUP($B51,Data!$A:$D,2,FALSE),"")</f>
        <v/>
      </c>
      <c r="E51" s="11">
        <f>IFERROR(VLOOKUP($B51,Data!$A:$D,3,FALSE),"")</f>
        <v/>
      </c>
      <c r="F51" s="10" t="inlineStr"/>
      <c r="G51" s="11">
        <f>IFERROR(VLOOKUP($F51,Data!$A:$D,4,FALSE),"")</f>
        <v/>
      </c>
      <c r="H51" s="11">
        <f>IFERROR(VLOOKUP($F51,Data!$A:$D,2,FALSE),"")</f>
        <v/>
      </c>
      <c r="I51" s="11">
        <f>IFERROR(VLOOKUP($F51,Data!$A:$D,3,FALSE),"")</f>
        <v/>
      </c>
      <c r="J51" s="10" t="inlineStr"/>
      <c r="K51" s="11">
        <f>IFERROR(VLOOKUP($J51,Data!$A:$D,4,FALSE),"")</f>
        <v/>
      </c>
      <c r="L51" s="11">
        <f>IFERROR(VLOOKUP($J51,Data!$A:$D,2,FALSE),"")</f>
        <v/>
      </c>
      <c r="M51" s="11">
        <f>IFERROR(VLOOKUP($J51,Data!$A:$D,3,FALSE),"")</f>
        <v/>
      </c>
    </row>
    <row r="52">
      <c r="A52" s="12" t="inlineStr">
        <is>
          <t>Lunch Break (12:00 PM – 1:00 PM)</t>
        </is>
      </c>
    </row>
    <row r="53">
      <c r="A53" s="5" t="inlineStr">
        <is>
          <t>Afternoon Session</t>
        </is>
      </c>
    </row>
    <row r="54">
      <c r="A54" s="6" t="inlineStr">
        <is>
          <t>Time</t>
        </is>
      </c>
      <c r="B54" s="7" t="inlineStr">
        <is>
          <t>Room 32-124</t>
        </is>
      </c>
      <c r="F54" s="7" t="inlineStr">
        <is>
          <t>Room 32-141</t>
        </is>
      </c>
      <c r="J54" s="7" t="inlineStr">
        <is>
          <t>Room 32-155</t>
        </is>
      </c>
    </row>
    <row r="55">
      <c r="B55" s="8" t="inlineStr">
        <is>
          <t>Name</t>
        </is>
      </c>
      <c r="C55" s="8" t="inlineStr">
        <is>
          <t>Field</t>
        </is>
      </c>
      <c r="D55" s="8" t="inlineStr">
        <is>
          <t>Title</t>
        </is>
      </c>
      <c r="E55" s="8" t="inlineStr">
        <is>
          <t>Mentor</t>
        </is>
      </c>
      <c r="F55" s="8" t="inlineStr">
        <is>
          <t>Name</t>
        </is>
      </c>
      <c r="G55" s="8" t="inlineStr">
        <is>
          <t>Field</t>
        </is>
      </c>
      <c r="H55" s="8" t="inlineStr">
        <is>
          <t>Title</t>
        </is>
      </c>
      <c r="I55" s="8" t="inlineStr">
        <is>
          <t>Mentor</t>
        </is>
      </c>
      <c r="J55" s="8" t="inlineStr">
        <is>
          <t>Name</t>
        </is>
      </c>
      <c r="K55" s="8" t="inlineStr">
        <is>
          <t>Field</t>
        </is>
      </c>
      <c r="L55" s="8" t="inlineStr">
        <is>
          <t>Title</t>
        </is>
      </c>
      <c r="M55" s="8" t="inlineStr">
        <is>
          <t>Mentor</t>
        </is>
      </c>
    </row>
    <row r="56">
      <c r="A56" s="9" t="inlineStr">
        <is>
          <t>1:00 PM – 1:16 PM</t>
        </is>
      </c>
      <c r="B56" s="10" t="inlineStr">
        <is>
          <t>Matthew Lo</t>
        </is>
      </c>
      <c r="C56" s="11">
        <f>IFERROR(VLOOKUP($B56,Data!$A:$D,4,FALSE),"")</f>
        <v/>
      </c>
      <c r="D56" s="11">
        <f>IFERROR(VLOOKUP($B56,Data!$A:$D,2,FALSE),"")</f>
        <v/>
      </c>
      <c r="E56" s="11">
        <f>IFERROR(VLOOKUP($B56,Data!$A:$D,3,FALSE),"")</f>
        <v/>
      </c>
      <c r="F56" s="10" t="inlineStr">
        <is>
          <t>Karl Chu</t>
        </is>
      </c>
      <c r="G56" s="11">
        <f>IFERROR(VLOOKUP($F56,Data!$A:$D,4,FALSE),"")</f>
        <v/>
      </c>
      <c r="H56" s="11">
        <f>IFERROR(VLOOKUP($F56,Data!$A:$D,2,FALSE),"")</f>
        <v/>
      </c>
      <c r="I56" s="11">
        <f>IFERROR(VLOOKUP($F56,Data!$A:$D,3,FALSE),"")</f>
        <v/>
      </c>
      <c r="J56" s="10" t="inlineStr">
        <is>
          <t>Atharva Tyagi</t>
        </is>
      </c>
      <c r="K56" s="11">
        <f>IFERROR(VLOOKUP($J56,Data!$A:$D,4,FALSE),"")</f>
        <v/>
      </c>
      <c r="L56" s="11">
        <f>IFERROR(VLOOKUP($J56,Data!$A:$D,2,FALSE),"")</f>
        <v/>
      </c>
      <c r="M56" s="11">
        <f>IFERROR(VLOOKUP($J56,Data!$A:$D,3,FALSE),"")</f>
        <v/>
      </c>
    </row>
    <row r="57">
      <c r="A57" s="9" t="inlineStr">
        <is>
          <t>1:16 PM – 1:32 PM</t>
        </is>
      </c>
      <c r="B57" s="10" t="inlineStr">
        <is>
          <t>Sarah Park</t>
        </is>
      </c>
      <c r="C57" s="11">
        <f>IFERROR(VLOOKUP($B57,Data!$A:$D,4,FALSE),"")</f>
        <v/>
      </c>
      <c r="D57" s="11">
        <f>IFERROR(VLOOKUP($B57,Data!$A:$D,2,FALSE),"")</f>
        <v/>
      </c>
      <c r="E57" s="11">
        <f>IFERROR(VLOOKUP($B57,Data!$A:$D,3,FALSE),"")</f>
        <v/>
      </c>
      <c r="F57" s="10" t="inlineStr">
        <is>
          <t>Selene Manzo</t>
        </is>
      </c>
      <c r="G57" s="11">
        <f>IFERROR(VLOOKUP($F57,Data!$A:$D,4,FALSE),"")</f>
        <v/>
      </c>
      <c r="H57" s="11">
        <f>IFERROR(VLOOKUP($F57,Data!$A:$D,2,FALSE),"")</f>
        <v/>
      </c>
      <c r="I57" s="11">
        <f>IFERROR(VLOOKUP($F57,Data!$A:$D,3,FALSE),"")</f>
        <v/>
      </c>
      <c r="J57" s="10" t="inlineStr">
        <is>
          <t>Ayush Vispute</t>
        </is>
      </c>
      <c r="K57" s="11">
        <f>IFERROR(VLOOKUP($J57,Data!$A:$D,4,FALSE),"")</f>
        <v/>
      </c>
      <c r="L57" s="11">
        <f>IFERROR(VLOOKUP($J57,Data!$A:$D,2,FALSE),"")</f>
        <v/>
      </c>
      <c r="M57" s="11">
        <f>IFERROR(VLOOKUP($J57,Data!$A:$D,3,FALSE),"")</f>
        <v/>
      </c>
    </row>
    <row r="58">
      <c r="A58" s="9" t="inlineStr">
        <is>
          <t>1:32 PM – 1:48 PM</t>
        </is>
      </c>
      <c r="B58" s="10" t="inlineStr">
        <is>
          <t>Raquel Gomez Junco Lobo</t>
        </is>
      </c>
      <c r="C58" s="11">
        <f>IFERROR(VLOOKUP($B58,Data!$A:$D,4,FALSE),"")</f>
        <v/>
      </c>
      <c r="D58" s="11">
        <f>IFERROR(VLOOKUP($B58,Data!$A:$D,2,FALSE),"")</f>
        <v/>
      </c>
      <c r="E58" s="11">
        <f>IFERROR(VLOOKUP($B58,Data!$A:$D,3,FALSE),"")</f>
        <v/>
      </c>
      <c r="F58" s="10" t="inlineStr">
        <is>
          <t>Mira Cakmak</t>
        </is>
      </c>
      <c r="G58" s="11">
        <f>IFERROR(VLOOKUP($F58,Data!$A:$D,4,FALSE),"")</f>
        <v/>
      </c>
      <c r="H58" s="11">
        <f>IFERROR(VLOOKUP($F58,Data!$A:$D,2,FALSE),"")</f>
        <v/>
      </c>
      <c r="I58" s="11">
        <f>IFERROR(VLOOKUP($F58,Data!$A:$D,3,FALSE),"")</f>
        <v/>
      </c>
      <c r="J58" s="10" t="inlineStr">
        <is>
          <t>Bryan Cho</t>
        </is>
      </c>
      <c r="K58" s="11">
        <f>IFERROR(VLOOKUP($J58,Data!$A:$D,4,FALSE),"")</f>
        <v/>
      </c>
      <c r="L58" s="11">
        <f>IFERROR(VLOOKUP($J58,Data!$A:$D,2,FALSE),"")</f>
        <v/>
      </c>
      <c r="M58" s="11">
        <f>IFERROR(VLOOKUP($J58,Data!$A:$D,3,FALSE),"")</f>
        <v/>
      </c>
    </row>
    <row r="59">
      <c r="A59" s="9" t="inlineStr">
        <is>
          <t>1:48 PM – 2:04 PM</t>
        </is>
      </c>
      <c r="B59" s="10" t="inlineStr">
        <is>
          <t>Ruchika Ramachandran</t>
        </is>
      </c>
      <c r="C59" s="11">
        <f>IFERROR(VLOOKUP($B59,Data!$A:$D,4,FALSE),"")</f>
        <v/>
      </c>
      <c r="D59" s="11">
        <f>IFERROR(VLOOKUP($B59,Data!$A:$D,2,FALSE),"")</f>
        <v/>
      </c>
      <c r="E59" s="11">
        <f>IFERROR(VLOOKUP($B59,Data!$A:$D,3,FALSE),"")</f>
        <v/>
      </c>
      <c r="F59" s="10" t="inlineStr">
        <is>
          <t>Nabet El Hajjar</t>
        </is>
      </c>
      <c r="G59" s="11">
        <f>IFERROR(VLOOKUP($F59,Data!$A:$D,4,FALSE),"")</f>
        <v/>
      </c>
      <c r="H59" s="11">
        <f>IFERROR(VLOOKUP($F59,Data!$A:$D,2,FALSE),"")</f>
        <v/>
      </c>
      <c r="I59" s="11">
        <f>IFERROR(VLOOKUP($F59,Data!$A:$D,3,FALSE),"")</f>
        <v/>
      </c>
      <c r="J59" s="10" t="inlineStr">
        <is>
          <t>Claire Zhan</t>
        </is>
      </c>
      <c r="K59" s="11">
        <f>IFERROR(VLOOKUP($J59,Data!$A:$D,4,FALSE),"")</f>
        <v/>
      </c>
      <c r="L59" s="11">
        <f>IFERROR(VLOOKUP($J59,Data!$A:$D,2,FALSE),"")</f>
        <v/>
      </c>
      <c r="M59" s="11">
        <f>IFERROR(VLOOKUP($J59,Data!$A:$D,3,FALSE),"")</f>
        <v/>
      </c>
    </row>
    <row r="60">
      <c r="A60" s="9" t="inlineStr">
        <is>
          <t>2:04 PM – 2:20 PM</t>
        </is>
      </c>
      <c r="B60" s="10" t="inlineStr">
        <is>
          <t>Sarah Dingli</t>
        </is>
      </c>
      <c r="C60" s="11">
        <f>IFERROR(VLOOKUP($B60,Data!$A:$D,4,FALSE),"")</f>
        <v/>
      </c>
      <c r="D60" s="11">
        <f>IFERROR(VLOOKUP($B60,Data!$A:$D,2,FALSE),"")</f>
        <v/>
      </c>
      <c r="E60" s="11">
        <f>IFERROR(VLOOKUP($B60,Data!$A:$D,3,FALSE),"")</f>
        <v/>
      </c>
      <c r="F60" s="10" t="inlineStr">
        <is>
          <t>Rishi Pampati</t>
        </is>
      </c>
      <c r="G60" s="11">
        <f>IFERROR(VLOOKUP($F60,Data!$A:$D,4,FALSE),"")</f>
        <v/>
      </c>
      <c r="H60" s="11">
        <f>IFERROR(VLOOKUP($F60,Data!$A:$D,2,FALSE),"")</f>
        <v/>
      </c>
      <c r="I60" s="11">
        <f>IFERROR(VLOOKUP($F60,Data!$A:$D,3,FALSE),"")</f>
        <v/>
      </c>
      <c r="J60" s="10" t="inlineStr">
        <is>
          <t>Malin Janna Vega</t>
        </is>
      </c>
      <c r="K60" s="11">
        <f>IFERROR(VLOOKUP($J60,Data!$A:$D,4,FALSE),"")</f>
        <v/>
      </c>
      <c r="L60" s="11">
        <f>IFERROR(VLOOKUP($J60,Data!$A:$D,2,FALSE),"")</f>
        <v/>
      </c>
      <c r="M60" s="11">
        <f>IFERROR(VLOOKUP($J60,Data!$A:$D,3,FALSE),"")</f>
        <v/>
      </c>
    </row>
    <row r="61">
      <c r="A61" s="9" t="inlineStr">
        <is>
          <t>2:20 PM – 2:36 PM</t>
        </is>
      </c>
      <c r="B61" s="10" t="inlineStr">
        <is>
          <t>Shaden Alharbi</t>
        </is>
      </c>
      <c r="C61" s="11">
        <f>IFERROR(VLOOKUP($B61,Data!$A:$D,4,FALSE),"")</f>
        <v/>
      </c>
      <c r="D61" s="11">
        <f>IFERROR(VLOOKUP($B61,Data!$A:$D,2,FALSE),"")</f>
        <v/>
      </c>
      <c r="E61" s="11">
        <f>IFERROR(VLOOKUP($B61,Data!$A:$D,3,FALSE),"")</f>
        <v/>
      </c>
      <c r="F61" s="10" t="inlineStr">
        <is>
          <t>Shrivali Gupta</t>
        </is>
      </c>
      <c r="G61" s="11">
        <f>IFERROR(VLOOKUP($F61,Data!$A:$D,4,FALSE),"")</f>
        <v/>
      </c>
      <c r="H61" s="11">
        <f>IFERROR(VLOOKUP($F61,Data!$A:$D,2,FALSE),"")</f>
        <v/>
      </c>
      <c r="I61" s="11">
        <f>IFERROR(VLOOKUP($F61,Data!$A:$D,3,FALSE),"")</f>
        <v/>
      </c>
      <c r="J61" s="10" t="inlineStr">
        <is>
          <t>Sophia Zhao</t>
        </is>
      </c>
      <c r="K61" s="11">
        <f>IFERROR(VLOOKUP($J61,Data!$A:$D,4,FALSE),"")</f>
        <v/>
      </c>
      <c r="L61" s="11">
        <f>IFERROR(VLOOKUP($J61,Data!$A:$D,2,FALSE),"")</f>
        <v/>
      </c>
      <c r="M61" s="11">
        <f>IFERROR(VLOOKUP($J61,Data!$A:$D,3,FALSE),"")</f>
        <v/>
      </c>
    </row>
    <row r="62">
      <c r="A62" s="9" t="inlineStr">
        <is>
          <t>2:36 PM – 2:52 PM</t>
        </is>
      </c>
      <c r="B62" s="10" t="inlineStr"/>
      <c r="C62" s="11">
        <f>IFERROR(VLOOKUP($B62,Data!$A:$D,4,FALSE),"")</f>
        <v/>
      </c>
      <c r="D62" s="11">
        <f>IFERROR(VLOOKUP($B62,Data!$A:$D,2,FALSE),"")</f>
        <v/>
      </c>
      <c r="E62" s="11">
        <f>IFERROR(VLOOKUP($B62,Data!$A:$D,3,FALSE),"")</f>
        <v/>
      </c>
      <c r="F62" s="10" t="inlineStr">
        <is>
          <t>Yoon Seo Pyo</t>
        </is>
      </c>
      <c r="G62" s="11">
        <f>IFERROR(VLOOKUP($F62,Data!$A:$D,4,FALSE),"")</f>
        <v/>
      </c>
      <c r="H62" s="11">
        <f>IFERROR(VLOOKUP($F62,Data!$A:$D,2,FALSE),"")</f>
        <v/>
      </c>
      <c r="I62" s="11">
        <f>IFERROR(VLOOKUP($F62,Data!$A:$D,3,FALSE),"")</f>
        <v/>
      </c>
      <c r="J62" s="10" t="inlineStr">
        <is>
          <t>Yong Ding</t>
        </is>
      </c>
      <c r="K62" s="11">
        <f>IFERROR(VLOOKUP($J62,Data!$A:$D,4,FALSE),"")</f>
        <v/>
      </c>
      <c r="L62" s="11">
        <f>IFERROR(VLOOKUP($J62,Data!$A:$D,2,FALSE),"")</f>
        <v/>
      </c>
      <c r="M62" s="11">
        <f>IFERROR(VLOOKUP($J62,Data!$A:$D,3,FALSE),"")</f>
        <v/>
      </c>
    </row>
    <row r="63">
      <c r="A63" s="9" t="inlineStr">
        <is>
          <t>2:52 PM – 3:08 PM</t>
        </is>
      </c>
      <c r="B63" s="10" t="inlineStr"/>
      <c r="C63" s="11">
        <f>IFERROR(VLOOKUP($B63,Data!$A:$D,4,FALSE),"")</f>
        <v/>
      </c>
      <c r="D63" s="11">
        <f>IFERROR(VLOOKUP($B63,Data!$A:$D,2,FALSE),"")</f>
        <v/>
      </c>
      <c r="E63" s="11">
        <f>IFERROR(VLOOKUP($B63,Data!$A:$D,3,FALSE),"")</f>
        <v/>
      </c>
      <c r="F63" s="10" t="inlineStr"/>
      <c r="G63" s="11">
        <f>IFERROR(VLOOKUP($F63,Data!$A:$D,4,FALSE),"")</f>
        <v/>
      </c>
      <c r="H63" s="11">
        <f>IFERROR(VLOOKUP($F63,Data!$A:$D,2,FALSE),"")</f>
        <v/>
      </c>
      <c r="I63" s="11">
        <f>IFERROR(VLOOKUP($F63,Data!$A:$D,3,FALSE),"")</f>
        <v/>
      </c>
      <c r="J63" s="10" t="inlineStr">
        <is>
          <t>Avery Wang</t>
        </is>
      </c>
      <c r="K63" s="11">
        <f>IFERROR(VLOOKUP($J63,Data!$A:$D,4,FALSE),"")</f>
        <v/>
      </c>
      <c r="L63" s="11">
        <f>IFERROR(VLOOKUP($J63,Data!$A:$D,2,FALSE),"")</f>
        <v/>
      </c>
      <c r="M63" s="11">
        <f>IFERROR(VLOOKUP($J63,Data!$A:$D,3,FALSE),"")</f>
        <v/>
      </c>
    </row>
    <row r="64">
      <c r="A64" s="9" t="inlineStr">
        <is>
          <t>3:08 PM – 3:24 PM</t>
        </is>
      </c>
      <c r="B64" s="10" t="inlineStr"/>
      <c r="C64" s="11">
        <f>IFERROR(VLOOKUP($B64,Data!$A:$D,4,FALSE),"")</f>
        <v/>
      </c>
      <c r="D64" s="11">
        <f>IFERROR(VLOOKUP($B64,Data!$A:$D,2,FALSE),"")</f>
        <v/>
      </c>
      <c r="E64" s="11">
        <f>IFERROR(VLOOKUP($B64,Data!$A:$D,3,FALSE),"")</f>
        <v/>
      </c>
      <c r="F64" s="10" t="inlineStr"/>
      <c r="G64" s="11">
        <f>IFERROR(VLOOKUP($F64,Data!$A:$D,4,FALSE),"")</f>
        <v/>
      </c>
      <c r="H64" s="11">
        <f>IFERROR(VLOOKUP($F64,Data!$A:$D,2,FALSE),"")</f>
        <v/>
      </c>
      <c r="I64" s="11">
        <f>IFERROR(VLOOKUP($F64,Data!$A:$D,3,FALSE),"")</f>
        <v/>
      </c>
      <c r="J64" s="10" t="inlineStr">
        <is>
          <t>Ngawang Namgyal</t>
        </is>
      </c>
      <c r="K64" s="11">
        <f>IFERROR(VLOOKUP($J64,Data!$A:$D,4,FALSE),"")</f>
        <v/>
      </c>
      <c r="L64" s="11">
        <f>IFERROR(VLOOKUP($J64,Data!$A:$D,2,FALSE),"")</f>
        <v/>
      </c>
      <c r="M64" s="11">
        <f>IFERROR(VLOOKUP($J64,Data!$A:$D,3,FALSE),"")</f>
        <v/>
      </c>
    </row>
    <row r="65">
      <c r="A65" s="9" t="inlineStr">
        <is>
          <t>3:24 PM – 3:40 PM</t>
        </is>
      </c>
      <c r="B65" s="10" t="inlineStr"/>
      <c r="C65" s="11">
        <f>IFERROR(VLOOKUP($B65,Data!$A:$D,4,FALSE),"")</f>
        <v/>
      </c>
      <c r="D65" s="11">
        <f>IFERROR(VLOOKUP($B65,Data!$A:$D,2,FALSE),"")</f>
        <v/>
      </c>
      <c r="E65" s="11">
        <f>IFERROR(VLOOKUP($B65,Data!$A:$D,3,FALSE),"")</f>
        <v/>
      </c>
      <c r="F65" s="10" t="inlineStr"/>
      <c r="G65" s="11">
        <f>IFERROR(VLOOKUP($F65,Data!$A:$D,4,FALSE),"")</f>
        <v/>
      </c>
      <c r="H65" s="11">
        <f>IFERROR(VLOOKUP($F65,Data!$A:$D,2,FALSE),"")</f>
        <v/>
      </c>
      <c r="I65" s="11">
        <f>IFERROR(VLOOKUP($F65,Data!$A:$D,3,FALSE),"")</f>
        <v/>
      </c>
      <c r="J65" s="10" t="inlineStr">
        <is>
          <t>Zephyr Larson</t>
        </is>
      </c>
      <c r="K65" s="11">
        <f>IFERROR(VLOOKUP($J65,Data!$A:$D,4,FALSE),"")</f>
        <v/>
      </c>
      <c r="L65" s="11">
        <f>IFERROR(VLOOKUP($J65,Data!$A:$D,2,FALSE),"")</f>
        <v/>
      </c>
      <c r="M65" s="11">
        <f>IFERROR(VLOOKUP($J65,Data!$A:$D,3,FALSE),"")</f>
        <v/>
      </c>
    </row>
    <row r="66">
      <c r="A66" s="9" t="inlineStr">
        <is>
          <t>3:40 PM – 3:56 PM</t>
        </is>
      </c>
      <c r="B66" s="10" t="inlineStr"/>
      <c r="C66" s="11">
        <f>IFERROR(VLOOKUP($B66,Data!$A:$D,4,FALSE),"")</f>
        <v/>
      </c>
      <c r="D66" s="11">
        <f>IFERROR(VLOOKUP($B66,Data!$A:$D,2,FALSE),"")</f>
        <v/>
      </c>
      <c r="E66" s="11">
        <f>IFERROR(VLOOKUP($B66,Data!$A:$D,3,FALSE),"")</f>
        <v/>
      </c>
      <c r="F66" s="10" t="inlineStr"/>
      <c r="G66" s="11">
        <f>IFERROR(VLOOKUP($F66,Data!$A:$D,4,FALSE),"")</f>
        <v/>
      </c>
      <c r="H66" s="11">
        <f>IFERROR(VLOOKUP($F66,Data!$A:$D,2,FALSE),"")</f>
        <v/>
      </c>
      <c r="I66" s="11">
        <f>IFERROR(VLOOKUP($F66,Data!$A:$D,3,FALSE),"")</f>
        <v/>
      </c>
      <c r="J66" s="10" t="inlineStr">
        <is>
          <t>Diya Gandhi</t>
        </is>
      </c>
      <c r="K66" s="11">
        <f>IFERROR(VLOOKUP($J66,Data!$A:$D,4,FALSE),"")</f>
        <v/>
      </c>
      <c r="L66" s="11">
        <f>IFERROR(VLOOKUP($J66,Data!$A:$D,2,FALSE),"")</f>
        <v/>
      </c>
      <c r="M66" s="11">
        <f>IFERROR(VLOOKUP($J66,Data!$A:$D,3,FALSE),"")</f>
        <v/>
      </c>
    </row>
    <row r="67">
      <c r="A67" s="9" t="inlineStr">
        <is>
          <t>3:56 PM – 4:12 PM</t>
        </is>
      </c>
      <c r="B67" s="10" t="inlineStr"/>
      <c r="C67" s="11">
        <f>IFERROR(VLOOKUP($B67,Data!$A:$D,4,FALSE),"")</f>
        <v/>
      </c>
      <c r="D67" s="11">
        <f>IFERROR(VLOOKUP($B67,Data!$A:$D,2,FALSE),"")</f>
        <v/>
      </c>
      <c r="E67" s="11">
        <f>IFERROR(VLOOKUP($B67,Data!$A:$D,3,FALSE),"")</f>
        <v/>
      </c>
      <c r="F67" s="10" t="inlineStr"/>
      <c r="G67" s="11">
        <f>IFERROR(VLOOKUP($F67,Data!$A:$D,4,FALSE),"")</f>
        <v/>
      </c>
      <c r="H67" s="11">
        <f>IFERROR(VLOOKUP($F67,Data!$A:$D,2,FALSE),"")</f>
        <v/>
      </c>
      <c r="I67" s="11">
        <f>IFERROR(VLOOKUP($F67,Data!$A:$D,3,FALSE),"")</f>
        <v/>
      </c>
      <c r="J67" s="10" t="inlineStr">
        <is>
          <t>Mahima Lele</t>
        </is>
      </c>
      <c r="K67" s="11">
        <f>IFERROR(VLOOKUP($J67,Data!$A:$D,4,FALSE),"")</f>
        <v/>
      </c>
      <c r="L67" s="11">
        <f>IFERROR(VLOOKUP($J67,Data!$A:$D,2,FALSE),"")</f>
        <v/>
      </c>
      <c r="M67" s="11">
        <f>IFERROR(VLOOKUP($J67,Data!$A:$D,3,FALSE),"")</f>
        <v/>
      </c>
    </row>
    <row r="68">
      <c r="A68" s="9" t="inlineStr">
        <is>
          <t>4:12 PM – 4:28 PM</t>
        </is>
      </c>
      <c r="B68" s="10" t="inlineStr"/>
      <c r="C68" s="11">
        <f>IFERROR(VLOOKUP($B68,Data!$A:$D,4,FALSE),"")</f>
        <v/>
      </c>
      <c r="D68" s="11">
        <f>IFERROR(VLOOKUP($B68,Data!$A:$D,2,FALSE),"")</f>
        <v/>
      </c>
      <c r="E68" s="11">
        <f>IFERROR(VLOOKUP($B68,Data!$A:$D,3,FALSE),"")</f>
        <v/>
      </c>
      <c r="F68" s="10" t="inlineStr"/>
      <c r="G68" s="11">
        <f>IFERROR(VLOOKUP($F68,Data!$A:$D,4,FALSE),"")</f>
        <v/>
      </c>
      <c r="H68" s="11">
        <f>IFERROR(VLOOKUP($F68,Data!$A:$D,2,FALSE),"")</f>
        <v/>
      </c>
      <c r="I68" s="11">
        <f>IFERROR(VLOOKUP($F68,Data!$A:$D,3,FALSE),"")</f>
        <v/>
      </c>
      <c r="J68" s="10" t="inlineStr"/>
      <c r="K68" s="11">
        <f>IFERROR(VLOOKUP($J68,Data!$A:$D,4,FALSE),"")</f>
        <v/>
      </c>
      <c r="L68" s="11">
        <f>IFERROR(VLOOKUP($J68,Data!$A:$D,2,FALSE),"")</f>
        <v/>
      </c>
      <c r="M68" s="11">
        <f>IFERROR(VLOOKUP($J68,Data!$A:$D,3,FALSE),"")</f>
        <v/>
      </c>
    </row>
  </sheetData>
  <mergeCells count="22">
    <mergeCell ref="B40:E40"/>
    <mergeCell ref="A5:M5"/>
    <mergeCell ref="A53:M53"/>
    <mergeCell ref="J21:M21"/>
    <mergeCell ref="A20:M20"/>
    <mergeCell ref="A38:M38"/>
    <mergeCell ref="A52:M52"/>
    <mergeCell ref="A19:M19"/>
    <mergeCell ref="B54:E54"/>
    <mergeCell ref="B7:E7"/>
    <mergeCell ref="A39:M39"/>
    <mergeCell ref="F54:I54"/>
    <mergeCell ref="F40:I40"/>
    <mergeCell ref="A1:M1"/>
    <mergeCell ref="F7:I7"/>
    <mergeCell ref="J40:M40"/>
    <mergeCell ref="A6:M6"/>
    <mergeCell ref="B21:E21"/>
    <mergeCell ref="F21:I21"/>
    <mergeCell ref="J54:M54"/>
    <mergeCell ref="J7:M7"/>
    <mergeCell ref="A2:M2"/>
  </mergeCells>
  <conditionalFormatting sqref="C4:C75">
    <cfRule type="cellIs" priority="1" operator="equal" dxfId="0">
      <formula>"Math"</formula>
    </cfRule>
    <cfRule type="cellIs" priority="4" operator="equal" dxfId="1">
      <formula>"Physics"</formula>
    </cfRule>
    <cfRule type="cellIs" priority="7" operator="equal" dxfId="2">
      <formula>"Astronomy &amp; Planetary Science"</formula>
    </cfRule>
    <cfRule type="cellIs" priority="10" operator="equal" dxfId="3">
      <formula>"Computer Science &amp; AI"</formula>
    </cfRule>
    <cfRule type="cellIs" priority="13" operator="equal" dxfId="4">
      <formula>"Engineering"</formula>
    </cfRule>
    <cfRule type="cellIs" priority="16" operator="equal" dxfId="5">
      <formula>"Chemistry &amp; Materials"</formula>
    </cfRule>
    <cfRule type="cellIs" priority="19" operator="equal" dxfId="6">
      <formula>"Biology &amp; Medicine"</formula>
    </cfRule>
    <cfRule type="cellIs" priority="22" operator="equal" dxfId="7">
      <formula>"Neuroscience &amp; Psychology"</formula>
    </cfRule>
    <cfRule type="cellIs" priority="25" operator="equal" dxfId="8">
      <formula>"Earth, Ocean &amp; Climate"</formula>
    </cfRule>
    <cfRule type="cellIs" priority="28" operator="equal" dxfId="9">
      <formula>"Economics &amp; Policy"</formula>
    </cfRule>
    <cfRule type="cellIs" priority="31" operator="equal" dxfId="10">
      <formula>"Other"</formula>
    </cfRule>
  </conditionalFormatting>
  <conditionalFormatting sqref="G4:G75">
    <cfRule type="cellIs" priority="2" operator="equal" dxfId="0">
      <formula>"Math"</formula>
    </cfRule>
    <cfRule type="cellIs" priority="5" operator="equal" dxfId="1">
      <formula>"Physics"</formula>
    </cfRule>
    <cfRule type="cellIs" priority="8" operator="equal" dxfId="2">
      <formula>"Astronomy &amp; Planetary Science"</formula>
    </cfRule>
    <cfRule type="cellIs" priority="11" operator="equal" dxfId="3">
      <formula>"Computer Science &amp; AI"</formula>
    </cfRule>
    <cfRule type="cellIs" priority="14" operator="equal" dxfId="4">
      <formula>"Engineering"</formula>
    </cfRule>
    <cfRule type="cellIs" priority="17" operator="equal" dxfId="5">
      <formula>"Chemistry &amp; Materials"</formula>
    </cfRule>
    <cfRule type="cellIs" priority="20" operator="equal" dxfId="6">
      <formula>"Biology &amp; Medicine"</formula>
    </cfRule>
    <cfRule type="cellIs" priority="23" operator="equal" dxfId="7">
      <formula>"Neuroscience &amp; Psychology"</formula>
    </cfRule>
    <cfRule type="cellIs" priority="26" operator="equal" dxfId="8">
      <formula>"Earth, Ocean &amp; Climate"</formula>
    </cfRule>
    <cfRule type="cellIs" priority="29" operator="equal" dxfId="9">
      <formula>"Economics &amp; Policy"</formula>
    </cfRule>
    <cfRule type="cellIs" priority="32" operator="equal" dxfId="10">
      <formula>"Other"</formula>
    </cfRule>
  </conditionalFormatting>
  <conditionalFormatting sqref="K4:K75">
    <cfRule type="cellIs" priority="3" operator="equal" dxfId="0">
      <formula>"Math"</formula>
    </cfRule>
    <cfRule type="cellIs" priority="6" operator="equal" dxfId="1">
      <formula>"Physics"</formula>
    </cfRule>
    <cfRule type="cellIs" priority="9" operator="equal" dxfId="2">
      <formula>"Astronomy &amp; Planetary Science"</formula>
    </cfRule>
    <cfRule type="cellIs" priority="12" operator="equal" dxfId="3">
      <formula>"Computer Science &amp; AI"</formula>
    </cfRule>
    <cfRule type="cellIs" priority="15" operator="equal" dxfId="4">
      <formula>"Engineering"</formula>
    </cfRule>
    <cfRule type="cellIs" priority="18" operator="equal" dxfId="5">
      <formula>"Chemistry &amp; Materials"</formula>
    </cfRule>
    <cfRule type="cellIs" priority="21" operator="equal" dxfId="6">
      <formula>"Biology &amp; Medicine"</formula>
    </cfRule>
    <cfRule type="cellIs" priority="24" operator="equal" dxfId="7">
      <formula>"Neuroscience &amp; Psychology"</formula>
    </cfRule>
    <cfRule type="cellIs" priority="27" operator="equal" dxfId="8">
      <formula>"Earth, Ocean &amp; Climate"</formula>
    </cfRule>
    <cfRule type="cellIs" priority="30" operator="equal" dxfId="9">
      <formula>"Economics &amp; Policy"</formula>
    </cfRule>
    <cfRule type="cellIs" priority="33" operator="equal" dxfId="10">
      <formula>"Other"</formula>
    </cfRule>
  </conditionalFormatting>
  <dataValidations count="1">
    <dataValidation sqref="B9:B18 B23:B35 B42:B51 B56:B68 F9:F18 F23:F35 F42:F51 F56:F68 J9:J18 J23:J35 J42:J51 J56:J68" showDropDown="0" showInputMessage="0" showErrorMessage="0" allowBlank="1" type="list">
      <formula1>=Data!$A$2:$A$101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2026-07-31T14:16:51Z</dcterms:created>
  <dcterms:modified xsi:type="dcterms:W3CDTF">2026-07-31T14:16:51Z</dcterms:modified>
</cp:coreProperties>
</file>