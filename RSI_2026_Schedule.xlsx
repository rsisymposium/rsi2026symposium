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vanlim/Documents/rsi-symposium/"/>
    </mc:Choice>
  </mc:AlternateContent>
  <xr:revisionPtr revIDLastSave="0" documentId="13_ncr:1_{50C7DC23-471A-984A-842A-11702BF690D4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Data" sheetId="1" r:id="rId1"/>
    <sheet name="Schedule" sheetId="2" r:id="rId2"/>
  </sheets>
  <definedNames>
    <definedName name="_xlnm._FilterDatabase" localSheetId="0" hidden="1">Data!$A$1:$H$101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" i="2" l="1"/>
  <c r="L64" i="2"/>
  <c r="K64" i="2"/>
  <c r="I64" i="2"/>
  <c r="H64" i="2"/>
  <c r="G64" i="2"/>
  <c r="E64" i="2"/>
  <c r="D64" i="2"/>
  <c r="C64" i="2"/>
  <c r="M63" i="2"/>
  <c r="L63" i="2"/>
  <c r="K63" i="2"/>
  <c r="I63" i="2"/>
  <c r="H63" i="2"/>
  <c r="G63" i="2"/>
  <c r="E63" i="2"/>
  <c r="D63" i="2"/>
  <c r="C63" i="2"/>
  <c r="M62" i="2"/>
  <c r="L62" i="2"/>
  <c r="K62" i="2"/>
  <c r="I62" i="2"/>
  <c r="H62" i="2"/>
  <c r="G62" i="2"/>
  <c r="E62" i="2"/>
  <c r="D62" i="2"/>
  <c r="C62" i="2"/>
  <c r="M61" i="2"/>
  <c r="L61" i="2"/>
  <c r="K61" i="2"/>
  <c r="I61" i="2"/>
  <c r="H61" i="2"/>
  <c r="G61" i="2"/>
  <c r="E61" i="2"/>
  <c r="D61" i="2"/>
  <c r="C61" i="2"/>
  <c r="M56" i="2"/>
  <c r="L56" i="2"/>
  <c r="K56" i="2"/>
  <c r="I56" i="2"/>
  <c r="H56" i="2"/>
  <c r="G56" i="2"/>
  <c r="E56" i="2"/>
  <c r="D56" i="2"/>
  <c r="C56" i="2"/>
  <c r="M55" i="2"/>
  <c r="L55" i="2"/>
  <c r="K55" i="2"/>
  <c r="I55" i="2"/>
  <c r="H55" i="2"/>
  <c r="G55" i="2"/>
  <c r="E55" i="2"/>
  <c r="D55" i="2"/>
  <c r="C55" i="2"/>
  <c r="M54" i="2"/>
  <c r="L54" i="2"/>
  <c r="K54" i="2"/>
  <c r="I54" i="2"/>
  <c r="H54" i="2"/>
  <c r="G54" i="2"/>
  <c r="E54" i="2"/>
  <c r="D54" i="2"/>
  <c r="C54" i="2"/>
  <c r="M53" i="2"/>
  <c r="L53" i="2"/>
  <c r="K53" i="2"/>
  <c r="I53" i="2"/>
  <c r="H53" i="2"/>
  <c r="G53" i="2"/>
  <c r="E53" i="2"/>
  <c r="D53" i="2"/>
  <c r="C53" i="2"/>
  <c r="M52" i="2"/>
  <c r="L52" i="2"/>
  <c r="K52" i="2"/>
  <c r="I52" i="2"/>
  <c r="H52" i="2"/>
  <c r="G52" i="2"/>
  <c r="E52" i="2"/>
  <c r="D52" i="2"/>
  <c r="C52" i="2"/>
  <c r="M51" i="2"/>
  <c r="L51" i="2"/>
  <c r="K51" i="2"/>
  <c r="I51" i="2"/>
  <c r="H51" i="2"/>
  <c r="G51" i="2"/>
  <c r="E51" i="2"/>
  <c r="D51" i="2"/>
  <c r="C51" i="2"/>
  <c r="M44" i="2"/>
  <c r="L44" i="2"/>
  <c r="K44" i="2"/>
  <c r="I44" i="2"/>
  <c r="H44" i="2"/>
  <c r="G44" i="2"/>
  <c r="E44" i="2"/>
  <c r="D44" i="2"/>
  <c r="C44" i="2"/>
  <c r="M43" i="2"/>
  <c r="L43" i="2"/>
  <c r="K43" i="2"/>
  <c r="I43" i="2"/>
  <c r="H43" i="2"/>
  <c r="G43" i="2"/>
  <c r="E43" i="2"/>
  <c r="D43" i="2"/>
  <c r="C43" i="2"/>
  <c r="M42" i="2"/>
  <c r="L42" i="2"/>
  <c r="K42" i="2"/>
  <c r="I42" i="2"/>
  <c r="H42" i="2"/>
  <c r="G42" i="2"/>
  <c r="E42" i="2"/>
  <c r="D42" i="2"/>
  <c r="C42" i="2"/>
  <c r="M41" i="2"/>
  <c r="L41" i="2"/>
  <c r="K41" i="2"/>
  <c r="I41" i="2"/>
  <c r="H41" i="2"/>
  <c r="G41" i="2"/>
  <c r="E41" i="2"/>
  <c r="D41" i="2"/>
  <c r="C41" i="2"/>
  <c r="M40" i="2"/>
  <c r="L40" i="2"/>
  <c r="K40" i="2"/>
  <c r="I40" i="2"/>
  <c r="H40" i="2"/>
  <c r="G40" i="2"/>
  <c r="E40" i="2"/>
  <c r="D40" i="2"/>
  <c r="C40" i="2"/>
  <c r="M39" i="2"/>
  <c r="L39" i="2"/>
  <c r="K39" i="2"/>
  <c r="I39" i="2"/>
  <c r="H39" i="2"/>
  <c r="G39" i="2"/>
  <c r="E39" i="2"/>
  <c r="D39" i="2"/>
  <c r="C39" i="2"/>
  <c r="M34" i="2"/>
  <c r="L34" i="2"/>
  <c r="K34" i="2"/>
  <c r="I34" i="2"/>
  <c r="H34" i="2"/>
  <c r="G34" i="2"/>
  <c r="E34" i="2"/>
  <c r="D34" i="2"/>
  <c r="C34" i="2"/>
  <c r="M33" i="2"/>
  <c r="L33" i="2"/>
  <c r="K33" i="2"/>
  <c r="I33" i="2"/>
  <c r="H33" i="2"/>
  <c r="G33" i="2"/>
  <c r="E33" i="2"/>
  <c r="D33" i="2"/>
  <c r="C33" i="2"/>
  <c r="M32" i="2"/>
  <c r="L32" i="2"/>
  <c r="K32" i="2"/>
  <c r="I32" i="2"/>
  <c r="H32" i="2"/>
  <c r="G32" i="2"/>
  <c r="E32" i="2"/>
  <c r="D32" i="2"/>
  <c r="C32" i="2"/>
  <c r="M31" i="2"/>
  <c r="L31" i="2"/>
  <c r="K31" i="2"/>
  <c r="I31" i="2"/>
  <c r="H31" i="2"/>
  <c r="G31" i="2"/>
  <c r="E31" i="2"/>
  <c r="D31" i="2"/>
  <c r="C31" i="2"/>
  <c r="M30" i="2"/>
  <c r="L30" i="2"/>
  <c r="K30" i="2"/>
  <c r="I30" i="2"/>
  <c r="H30" i="2"/>
  <c r="G30" i="2"/>
  <c r="E30" i="2"/>
  <c r="D30" i="2"/>
  <c r="C30" i="2"/>
  <c r="M29" i="2"/>
  <c r="L29" i="2"/>
  <c r="K29" i="2"/>
  <c r="I29" i="2"/>
  <c r="H29" i="2"/>
  <c r="G29" i="2"/>
  <c r="E29" i="2"/>
  <c r="D29" i="2"/>
  <c r="C29" i="2"/>
  <c r="M24" i="2"/>
  <c r="L24" i="2"/>
  <c r="K24" i="2"/>
  <c r="I24" i="2"/>
  <c r="H24" i="2"/>
  <c r="G24" i="2"/>
  <c r="E24" i="2"/>
  <c r="D24" i="2"/>
  <c r="C24" i="2"/>
  <c r="M23" i="2"/>
  <c r="L23" i="2"/>
  <c r="K23" i="2"/>
  <c r="I23" i="2"/>
  <c r="H23" i="2"/>
  <c r="G23" i="2"/>
  <c r="E23" i="2"/>
  <c r="D23" i="2"/>
  <c r="C23" i="2"/>
  <c r="M22" i="2"/>
  <c r="L22" i="2"/>
  <c r="K22" i="2"/>
  <c r="I22" i="2"/>
  <c r="H22" i="2"/>
  <c r="G22" i="2"/>
  <c r="E22" i="2"/>
  <c r="D22" i="2"/>
  <c r="C22" i="2"/>
  <c r="M21" i="2"/>
  <c r="L21" i="2"/>
  <c r="K21" i="2"/>
  <c r="I21" i="2"/>
  <c r="H21" i="2"/>
  <c r="G21" i="2"/>
  <c r="E21" i="2"/>
  <c r="D21" i="2"/>
  <c r="C21" i="2"/>
  <c r="M20" i="2"/>
  <c r="L20" i="2"/>
  <c r="K20" i="2"/>
  <c r="I20" i="2"/>
  <c r="H20" i="2"/>
  <c r="G20" i="2"/>
  <c r="E20" i="2"/>
  <c r="D20" i="2"/>
  <c r="C20" i="2"/>
  <c r="M19" i="2"/>
  <c r="L19" i="2"/>
  <c r="K19" i="2"/>
  <c r="I19" i="2"/>
  <c r="H19" i="2"/>
  <c r="G19" i="2"/>
  <c r="E19" i="2"/>
  <c r="D19" i="2"/>
  <c r="C19" i="2"/>
  <c r="M14" i="2"/>
  <c r="L14" i="2"/>
  <c r="K14" i="2"/>
  <c r="I14" i="2"/>
  <c r="H14" i="2"/>
  <c r="G14" i="2"/>
  <c r="E14" i="2"/>
  <c r="D14" i="2"/>
  <c r="C14" i="2"/>
  <c r="M13" i="2"/>
  <c r="L13" i="2"/>
  <c r="K13" i="2"/>
  <c r="I13" i="2"/>
  <c r="H13" i="2"/>
  <c r="G13" i="2"/>
  <c r="E13" i="2"/>
  <c r="D13" i="2"/>
  <c r="C13" i="2"/>
  <c r="M12" i="2"/>
  <c r="L12" i="2"/>
  <c r="K12" i="2"/>
  <c r="I12" i="2"/>
  <c r="H12" i="2"/>
  <c r="G12" i="2"/>
  <c r="E12" i="2"/>
  <c r="D12" i="2"/>
  <c r="C12" i="2"/>
  <c r="M11" i="2"/>
  <c r="L11" i="2"/>
  <c r="K11" i="2"/>
  <c r="I11" i="2"/>
  <c r="H11" i="2"/>
  <c r="G11" i="2"/>
  <c r="E11" i="2"/>
  <c r="D11" i="2"/>
  <c r="C11" i="2"/>
  <c r="M10" i="2"/>
  <c r="L10" i="2"/>
  <c r="K10" i="2"/>
  <c r="I10" i="2"/>
  <c r="H10" i="2"/>
  <c r="G10" i="2"/>
  <c r="E10" i="2"/>
  <c r="D10" i="2"/>
  <c r="C10" i="2"/>
  <c r="M9" i="2"/>
  <c r="L9" i="2"/>
  <c r="K9" i="2"/>
  <c r="I9" i="2"/>
  <c r="H9" i="2"/>
  <c r="G9" i="2"/>
  <c r="E9" i="2"/>
  <c r="D9" i="2"/>
  <c r="C9" i="2"/>
</calcChain>
</file>

<file path=xl/sharedStrings.xml><?xml version="1.0" encoding="utf-8"?>
<sst xmlns="http://schemas.openxmlformats.org/spreadsheetml/2006/main" count="1052" uniqueCount="706">
  <si>
    <t>RSI 2026 Symposium Schedule</t>
  </si>
  <si>
    <t>Edit a Name cell to reassign a slot -- Field / Title / Mentor update automatically.</t>
  </si>
  <si>
    <t>Thursday, August 6, 2026</t>
  </si>
  <si>
    <t>Block T1 (9:00 AM – 10:30 AM)</t>
  </si>
  <si>
    <t>Time</t>
  </si>
  <si>
    <t>Room 32-124</t>
  </si>
  <si>
    <t>Room 32-141</t>
  </si>
  <si>
    <t>Room 32-155</t>
  </si>
  <si>
    <t>Name</t>
  </si>
  <si>
    <t>Field</t>
  </si>
  <si>
    <t>Title</t>
  </si>
  <si>
    <t>Mentor</t>
  </si>
  <si>
    <t>Mira Cakmak</t>
  </si>
  <si>
    <t>Mahi Kohli</t>
  </si>
  <si>
    <t>Anushka Tonapi</t>
  </si>
  <si>
    <t>Zephyr Larson</t>
  </si>
  <si>
    <t>Alejandra Stephanie Perry</t>
  </si>
  <si>
    <t>Grisham Paimagam</t>
  </si>
  <si>
    <t>Alejandro Mayorga</t>
  </si>
  <si>
    <t>Ferris Li</t>
  </si>
  <si>
    <t>Katrina Liu</t>
  </si>
  <si>
    <t>Eric Buehler</t>
  </si>
  <si>
    <t>Benson Hsueh</t>
  </si>
  <si>
    <t>Lincoln Liu</t>
  </si>
  <si>
    <t>Layth Alzahrani</t>
  </si>
  <si>
    <t>Matey Minev</t>
  </si>
  <si>
    <t>Tony Lu</t>
  </si>
  <si>
    <t>Kai Xuen Toh</t>
  </si>
  <si>
    <t>Siddhi Kochar</t>
  </si>
  <si>
    <t>Michael Luo</t>
  </si>
  <si>
    <t>Break (10:30 AM – 11:00 AM)</t>
  </si>
  <si>
    <t>Block T2 (11:00 AM – 12:30 PM)</t>
  </si>
  <si>
    <t>Eason Turner</t>
  </si>
  <si>
    <t>Lluc Simon</t>
  </si>
  <si>
    <t>Sirius Sun</t>
  </si>
  <si>
    <t>Miguel Shim</t>
  </si>
  <si>
    <t>Mikołaj Stefaniak</t>
  </si>
  <si>
    <t>Nikola Veselinov</t>
  </si>
  <si>
    <t>Sylvia Lee</t>
  </si>
  <si>
    <t>Mustafa Bakhodirov</t>
  </si>
  <si>
    <t>Timothy Chen</t>
  </si>
  <si>
    <t>Pavan Subramani</t>
  </si>
  <si>
    <t>Asher Wang</t>
  </si>
  <si>
    <t>Jay Athipatla</t>
  </si>
  <si>
    <t>Cassidy Stocker</t>
  </si>
  <si>
    <t>Rishi Pampati</t>
  </si>
  <si>
    <t>Leyu Girma</t>
  </si>
  <si>
    <t>Sara Mitchell</t>
  </si>
  <si>
    <t>Shaden Alharbi</t>
  </si>
  <si>
    <t>Riya Mehrotra</t>
  </si>
  <si>
    <t>Lunch Break (12:30 PM – 1:15 PM)</t>
  </si>
  <si>
    <t>Block T3 (1:15 PM – 2:45 PM)</t>
  </si>
  <si>
    <t>Atharva Tyagi</t>
  </si>
  <si>
    <t>Shrivali Gupta</t>
  </si>
  <si>
    <t>Tara Saini</t>
  </si>
  <si>
    <t>Ayush Vispute</t>
  </si>
  <si>
    <t>Danu Kim</t>
  </si>
  <si>
    <t>Xindi Luo</t>
  </si>
  <si>
    <t>Bryan Cho</t>
  </si>
  <si>
    <t>Leonardo Bartoccini</t>
  </si>
  <si>
    <t>Greeshma Vinoy</t>
  </si>
  <si>
    <t>Claire Zhan</t>
  </si>
  <si>
    <t>Namie Djaja</t>
  </si>
  <si>
    <t>Sofia Passos</t>
  </si>
  <si>
    <t>Malin Janna Vega</t>
  </si>
  <si>
    <t>Rohan Peddamallu</t>
  </si>
  <si>
    <t>Can Nalbantoglu</t>
  </si>
  <si>
    <t>Sarah Dingli</t>
  </si>
  <si>
    <t>Nabet El Hajjar</t>
  </si>
  <si>
    <t>Daniel Guo</t>
  </si>
  <si>
    <t>Break (2:45 PM – 3:15 PM)</t>
  </si>
  <si>
    <t>Block T4 (3:15 PM – 4:45 PM)</t>
  </si>
  <si>
    <t>Sophia Zhao</t>
  </si>
  <si>
    <t>Mahima Lele</t>
  </si>
  <si>
    <t>Alex Ren</t>
  </si>
  <si>
    <t>Yong Ding</t>
  </si>
  <si>
    <t>Cooper Ho</t>
  </si>
  <si>
    <t>Amogh Dattatri</t>
  </si>
  <si>
    <t>Dhruv Jain</t>
  </si>
  <si>
    <t>Lillie Lin Li</t>
  </si>
  <si>
    <t>Chloe Giglio</t>
  </si>
  <si>
    <t>Aaryan Patel</t>
  </si>
  <si>
    <t>Lara Otico</t>
  </si>
  <si>
    <t>Ipek Zeynioğlu</t>
  </si>
  <si>
    <t>Andy Jo</t>
  </si>
  <si>
    <t>Jordan Chong</t>
  </si>
  <si>
    <t>Tristan Sun</t>
  </si>
  <si>
    <t>Jay Desai</t>
  </si>
  <si>
    <t>Amritha Praveen</t>
  </si>
  <si>
    <t>Álvaro Daniel Villafuerte González</t>
  </si>
  <si>
    <t>Friday, August 7, 2026</t>
  </si>
  <si>
    <t>Block F1 (9:00 AM – 10:30 AM)</t>
  </si>
  <si>
    <t>Diya Gandhi</t>
  </si>
  <si>
    <t>Abigail Qi</t>
  </si>
  <si>
    <t>Sowmya Sankaran</t>
  </si>
  <si>
    <t>David Shi</t>
  </si>
  <si>
    <t>Luke Itomura</t>
  </si>
  <si>
    <t>Tanay Arora</t>
  </si>
  <si>
    <t>David Wang</t>
  </si>
  <si>
    <t>Alexis Cho</t>
  </si>
  <si>
    <t>Izabella Craciun</t>
  </si>
  <si>
    <t>Azaria Tsegaye</t>
  </si>
  <si>
    <t>Hannah Thomas</t>
  </si>
  <si>
    <t>Karim Mrad</t>
  </si>
  <si>
    <t>Yernar Doskhan</t>
  </si>
  <si>
    <t>Logan Duran</t>
  </si>
  <si>
    <t>Lucia Chen</t>
  </si>
  <si>
    <t>Haya Mekdash</t>
  </si>
  <si>
    <t>Ahmed Sultan</t>
  </si>
  <si>
    <t>Yoon Seo Pyo</t>
  </si>
  <si>
    <t>Block F2 (11:00 AM – 12:00 PM)</t>
  </si>
  <si>
    <t>Raquel Gomez Junco Lobo</t>
  </si>
  <si>
    <t>Annika Chadha</t>
  </si>
  <si>
    <t>Avery Wang</t>
  </si>
  <si>
    <t>Matthew Lo</t>
  </si>
  <si>
    <t>Dex Theisen</t>
  </si>
  <si>
    <t>Ngawang Namgyal</t>
  </si>
  <si>
    <t>Sarah Park</t>
  </si>
  <si>
    <t>Karl Chu</t>
  </si>
  <si>
    <t>Ruchika Ramachandran</t>
  </si>
  <si>
    <t>Selene Manzo</t>
  </si>
  <si>
    <t>Full Name</t>
  </si>
  <si>
    <t>First Pron</t>
  </si>
  <si>
    <t>Last Pron</t>
  </si>
  <si>
    <t>Email</t>
  </si>
  <si>
    <t>Kerb</t>
  </si>
  <si>
    <t>TailSeeker: Optimizing Molecular Structure Generation for Fibrodysplasia Ossificans Progressiva</t>
  </si>
  <si>
    <t>Prof. Gil Alterovitz</t>
  </si>
  <si>
    <t>Computer Science &amp; AI</t>
  </si>
  <si>
    <t>AR-ee-un</t>
  </si>
  <si>
    <t>puh-TELL</t>
  </si>
  <si>
    <t>aaru0302@mit.edu</t>
  </si>
  <si>
    <t>aaru0302</t>
  </si>
  <si>
    <t>Prof. Charles Hoffman</t>
  </si>
  <si>
    <t>Biology &amp; Medicine</t>
  </si>
  <si>
    <t>Abigail</t>
  </si>
  <si>
    <t>CHEE</t>
  </si>
  <si>
    <t>abihqi@mit.edu</t>
  </si>
  <si>
    <t>abihqi</t>
  </si>
  <si>
    <t>Dr. Artur A. Indzhykulian</t>
  </si>
  <si>
    <t>AH-med</t>
  </si>
  <si>
    <t>SUL-tun</t>
  </si>
  <si>
    <t>a_sultan@mit.edu</t>
  </si>
  <si>
    <t>a_sultan</t>
  </si>
  <si>
    <t>Critical Windows for Neuromodulatory Recovery: Reversible UNC-31 Depletion in Caenorhabditis elegans Development</t>
  </si>
  <si>
    <t>Prof. Vivek Venkatachalam</t>
  </si>
  <si>
    <t>ah-leh-HAHN-dra STEH-fah-NEE</t>
  </si>
  <si>
    <t>PAIR-ee</t>
  </si>
  <si>
    <t>asperry@mit.edu</t>
  </si>
  <si>
    <t>asperry</t>
  </si>
  <si>
    <t>Liquid Foundation Models as Medical Assistants</t>
  </si>
  <si>
    <t>Dr. Bo Wu</t>
  </si>
  <si>
    <t>ah-leh-HAHN-dro</t>
  </si>
  <si>
    <t>my-OR-ga</t>
  </si>
  <si>
    <t>alej0@mit.edu</t>
  </si>
  <si>
    <t>alej0</t>
  </si>
  <si>
    <t>Prof. Manolis Kellis</t>
  </si>
  <si>
    <t>AL-ex</t>
  </si>
  <si>
    <t>REN</t>
  </si>
  <si>
    <t>alexren@mit.edu</t>
  </si>
  <si>
    <t>alexren</t>
  </si>
  <si>
    <t>Interactions of lipid droplets and Them1-containing condensates to regulate metabolism</t>
  </si>
  <si>
    <t>Prof. Susan Hagen, Dr. Xu Xu</t>
  </si>
  <si>
    <t>ah-LEX-is</t>
  </si>
  <si>
    <t>CHOH</t>
  </si>
  <si>
    <t>alexicho@mit.edu</t>
  </si>
  <si>
    <t>alexicho</t>
  </si>
  <si>
    <t>Dissecting the effects of non-coding genetic variation on neuropsychiatric disorder susceptibility</t>
  </si>
  <si>
    <t>ah-MOHG</t>
  </si>
  <si>
    <t>DAH-tah-tree</t>
  </si>
  <si>
    <t>amogh28@mit.edu</t>
  </si>
  <si>
    <t>amogh28</t>
  </si>
  <si>
    <t>Analyzing the Correlation of SBayesRC Calculated Weights for Polygenic Risk Scores and Body Mass Index</t>
  </si>
  <si>
    <t>Dr. Buu Truong</t>
  </si>
  <si>
    <t>um-REE-tha</t>
  </si>
  <si>
    <t>pra-VEEN</t>
  </si>
  <si>
    <t>amritha9@mit.edu</t>
  </si>
  <si>
    <t>amritha9</t>
  </si>
  <si>
    <t>Affine-Normalized Geometry of Protein Ensembles</t>
  </si>
  <si>
    <t>AN-dee</t>
  </si>
  <si>
    <t>JOH</t>
  </si>
  <si>
    <t>minkyujo@mit.edu</t>
  </si>
  <si>
    <t>minkyujo</t>
  </si>
  <si>
    <t>Reproducing the Energy Landscape of Nanoparticle-Induced Lipid Membrane Deformation</t>
  </si>
  <si>
    <t>Prof. Maggie Qi, Shu Yang</t>
  </si>
  <si>
    <t>Chemistry &amp; Materials</t>
  </si>
  <si>
    <t>AH-nih-kah</t>
  </si>
  <si>
    <t>CHAH-dah</t>
  </si>
  <si>
    <t>annika8@mit.edu</t>
  </si>
  <si>
    <t>annika8</t>
  </si>
  <si>
    <t>Siqi Wu</t>
  </si>
  <si>
    <t>Math</t>
  </si>
  <si>
    <t>ah-NOOSH-kah</t>
  </si>
  <si>
    <t>toh-NAH-pee</t>
  </si>
  <si>
    <t>avtonapi@mit.edu</t>
  </si>
  <si>
    <t>avtonapi</t>
  </si>
  <si>
    <t>Sinusoidal Representation Networks for Neural Renormalization-Group Flows on the1D and 2D Ising Models</t>
  </si>
  <si>
    <t>Dr. Howard Chen</t>
  </si>
  <si>
    <t>Physics</t>
  </si>
  <si>
    <t>ASH-er</t>
  </si>
  <si>
    <t>WONG</t>
  </si>
  <si>
    <t>aowang11@mit.edu</t>
  </si>
  <si>
    <t>aowang11</t>
  </si>
  <si>
    <t>Temporal Mapping of Doxorubicin-Induced Alterations in Autophagic Flux in hiPSC-Derived Cardiomyocytes</t>
  </si>
  <si>
    <t>Prof. Pierre F.J Lermusiaux</t>
  </si>
  <si>
    <t>ah-TAR-vah</t>
  </si>
  <si>
    <t>tee-AH-ghee</t>
  </si>
  <si>
    <t>a1wang@mit.edu</t>
  </si>
  <si>
    <t>a1wang</t>
  </si>
  <si>
    <t>Navier–Stokes Characteristic Boundary Conditions for Limited-Area Numerical Weather Prediction</t>
  </si>
  <si>
    <t>Prof. Peter Lu, Oreoluwa Alao</t>
  </si>
  <si>
    <t>Earth, Ocean &amp; Climate</t>
  </si>
  <si>
    <t>AY-vuh-ree</t>
  </si>
  <si>
    <t>atyagi11@mit.edu</t>
  </si>
  <si>
    <t>atyagi11</t>
  </si>
  <si>
    <t>Optimizing Quasi Geostrophic Flow Solving An Embedded Neural Network</t>
  </si>
  <si>
    <t>AH-yoosh</t>
  </si>
  <si>
    <t>VIS-poo-teh</t>
  </si>
  <si>
    <t>avispute@mit.edu</t>
  </si>
  <si>
    <t>avispute</t>
  </si>
  <si>
    <t>Observing Landau Levels in Simulated Strained Graphene</t>
  </si>
  <si>
    <t>ah-ZAR-ee-ah</t>
  </si>
  <si>
    <t>tsuh-GAH-yeh</t>
  </si>
  <si>
    <t>azariart@mit.edu</t>
  </si>
  <si>
    <t>azariart</t>
  </si>
  <si>
    <t>The Center Configuration Problem for Single-Robot Reconfiguration</t>
  </si>
  <si>
    <t>Timothy Gomez</t>
  </si>
  <si>
    <t>BEN-sun</t>
  </si>
  <si>
    <t>SHWAY</t>
  </si>
  <si>
    <t>bensonh@mit.edu</t>
  </si>
  <si>
    <t>bensonh</t>
  </si>
  <si>
    <t>BRY-un</t>
  </si>
  <si>
    <t>cho0707@mit.edu</t>
  </si>
  <si>
    <t>cho0707</t>
  </si>
  <si>
    <t>Prof. Justin Solomon</t>
  </si>
  <si>
    <t>JOHN</t>
  </si>
  <si>
    <t>nal-BAN-toh-loo</t>
  </si>
  <si>
    <t>can_nlbt@mit.edu</t>
  </si>
  <si>
    <t>can_nlbt</t>
  </si>
  <si>
    <t>Dr. Robbie G. Majzner</t>
  </si>
  <si>
    <t>KAS-ih-dee</t>
  </si>
  <si>
    <t>STOK-er</t>
  </si>
  <si>
    <t>mariac08@mit.edu</t>
  </si>
  <si>
    <t>mariac08</t>
  </si>
  <si>
    <t>Mapping the transcriptional and phenotypic heterogeneity of lung adenocarcinoma progression</t>
  </si>
  <si>
    <t>KLOH-ee</t>
  </si>
  <si>
    <t>JIH-lee-oh</t>
  </si>
  <si>
    <t>chloegig@mit.edu</t>
  </si>
  <si>
    <t>chloegig</t>
  </si>
  <si>
    <t>Efficient Patching for Generative Super Resolution of Turbulent Flow Fields</t>
  </si>
  <si>
    <t>KLAIR</t>
  </si>
  <si>
    <t>JAHN</t>
  </si>
  <si>
    <t>cfyzhan@mit.edu</t>
  </si>
  <si>
    <t>cfyzhan</t>
  </si>
  <si>
    <t>Katharine Hesse</t>
  </si>
  <si>
    <t>Astronomy &amp; Planetary Science</t>
  </si>
  <si>
    <t>KOO-per</t>
  </si>
  <si>
    <t>HOH</t>
  </si>
  <si>
    <t>cyh@mit.edu</t>
  </si>
  <si>
    <t>cyh</t>
  </si>
  <si>
    <t>Prof. Wesley L. Harris</t>
  </si>
  <si>
    <t>Engineering</t>
  </si>
  <si>
    <t>DAN-yul</t>
  </si>
  <si>
    <t>GWOH</t>
  </si>
  <si>
    <t>dguo103@mit.edu</t>
  </si>
  <si>
    <t>dguo103</t>
  </si>
  <si>
    <t>The Feedback Horizon: When Physical Foreknowledge Becomes Decisive in Robotic Manipulation</t>
  </si>
  <si>
    <t>Prof. Chuchu Fan</t>
  </si>
  <si>
    <t>Dan-you (like "Daniel")</t>
  </si>
  <si>
    <t>KIM</t>
  </si>
  <si>
    <t>dkim081@mit.edu</t>
  </si>
  <si>
    <t>dkim081</t>
  </si>
  <si>
    <t>The Grammar of Natural Systems: Compositional Material Design Across Scales</t>
  </si>
  <si>
    <t>Prof. Markus Buehler</t>
  </si>
  <si>
    <t>DAY-vid</t>
  </si>
  <si>
    <t>SHIR</t>
  </si>
  <si>
    <t>davidw09@mit.edu</t>
  </si>
  <si>
    <t>davidw09</t>
  </si>
  <si>
    <t>Predicting Peptide Self-Assembly Phase from LLM Extracted Experimental Conditions</t>
  </si>
  <si>
    <t>dashii@mit.edu</t>
  </si>
  <si>
    <t>dashii</t>
  </si>
  <si>
    <t>Understanding the Influence of Receptor Transport on Nanoparticle-Cell-Membrane Interactions</t>
  </si>
  <si>
    <t>DEX</t>
  </si>
  <si>
    <t>THY-zen</t>
  </si>
  <si>
    <t>dtheisen@mit.edu</t>
  </si>
  <si>
    <t>dtheisen</t>
  </si>
  <si>
    <t>Dr. Prajwal T. Mohan Murthy</t>
  </si>
  <si>
    <t>DROOV</t>
  </si>
  <si>
    <t>Jeyn</t>
  </si>
  <si>
    <t>dhruvj07@mit.edu</t>
  </si>
  <si>
    <t>dhruvj07</t>
  </si>
  <si>
    <t>The Effect of Mergers on the Generic Drug Market</t>
  </si>
  <si>
    <t>Dr. Aaron Kesselheim</t>
  </si>
  <si>
    <t>Economics &amp; Policy</t>
  </si>
  <si>
    <t>DEE-yah</t>
  </si>
  <si>
    <t>GAHN-dee</t>
  </si>
  <si>
    <t>dagandhi@mit.edu</t>
  </si>
  <si>
    <t>dagandhi</t>
  </si>
  <si>
    <t>Searching for Eclipses in X-Ray Sources</t>
  </si>
  <si>
    <t>Dr. Rosanne Di Stefano</t>
  </si>
  <si>
    <t>EE-sun</t>
  </si>
  <si>
    <t>TUR-ner</t>
  </si>
  <si>
    <t>eason@mit.edu</t>
  </si>
  <si>
    <t>eason</t>
  </si>
  <si>
    <t>EH-rik</t>
  </si>
  <si>
    <t>BYOO-ler</t>
  </si>
  <si>
    <t>ebuehler@mit.edu</t>
  </si>
  <si>
    <t>ebuehler</t>
  </si>
  <si>
    <t>FAIR-is</t>
  </si>
  <si>
    <t>LEE</t>
  </si>
  <si>
    <t>hl888@mit.edu</t>
  </si>
  <si>
    <t>hl888</t>
  </si>
  <si>
    <t>APOE e4-Associated Microglial Transcriptional Signature Across Neurodegenerative Diseases</t>
  </si>
  <si>
    <t>Dr. Sudeshna Das</t>
  </si>
  <si>
    <t>GREESH-mah</t>
  </si>
  <si>
    <t>vih-NOY</t>
  </si>
  <si>
    <t>gsvinoy@mit.edu</t>
  </si>
  <si>
    <t>gsvinoy</t>
  </si>
  <si>
    <t>Sphere Packing on Grassmannians</t>
  </si>
  <si>
    <t>GRISH-um</t>
  </si>
  <si>
    <t>PY-mah-gum</t>
  </si>
  <si>
    <t>grishpai@mit.edu</t>
  </si>
  <si>
    <t>grishpai</t>
  </si>
  <si>
    <t>The Role of Them1 in Metabolic Gene Regulation</t>
  </si>
  <si>
    <t>HAN-ah</t>
  </si>
  <si>
    <t>TOM-us</t>
  </si>
  <si>
    <t>hannahgt@mit.edu</t>
  </si>
  <si>
    <t>hannahgt</t>
  </si>
  <si>
    <t>Development of a novel assay to measure radiation sensitivity of tumor cells</t>
  </si>
  <si>
    <t>Dr. David T. Miyamoto</t>
  </si>
  <si>
    <t>HY-ah</t>
  </si>
  <si>
    <t>MEK-dash</t>
  </si>
  <si>
    <t>haya_m24@mit.edu</t>
  </si>
  <si>
    <t>haya_m24</t>
  </si>
  <si>
    <t>Efficient Binding Free Energy Estimation through Conformational Sampling of Intermediate States</t>
  </si>
  <si>
    <t>EE-pek</t>
  </si>
  <si>
    <t>ZAY-nee-oh-loo</t>
  </si>
  <si>
    <t>dipek@mit.edu</t>
  </si>
  <si>
    <t>dipek</t>
  </si>
  <si>
    <t>Diffusion and Retention of Drug Carriers and Fluorescent Tag Molecules Through Cartilage Tissue for Applications to Osteoarthritis Therapeutics</t>
  </si>
  <si>
    <t>Prof. Ambika Bajpayee</t>
  </si>
  <si>
    <t>IZ-ah-BELL-ah</t>
  </si>
  <si>
    <t>kra-CHOON</t>
  </si>
  <si>
    <t>iza_c397@mit.edu</t>
  </si>
  <si>
    <t>iza_c397</t>
  </si>
  <si>
    <t>DC-MTNN: A Drug-Conditioned Multi-Task Neural Network for Predicting Drug Resistance in Mycobacterium tuberculosis Using Genomic Data</t>
  </si>
  <si>
    <t>Dr. Sean Carroll</t>
  </si>
  <si>
    <t>JAY</t>
  </si>
  <si>
    <t>ah-thi-PAT-lah</t>
  </si>
  <si>
    <t>jaydesai@mit.edu</t>
  </si>
  <si>
    <t>jaydesai</t>
  </si>
  <si>
    <t>Effective Computation of Free Resolutions and Cohomology for Quotients of Braid Groups</t>
  </si>
  <si>
    <t>deh-SAI</t>
  </si>
  <si>
    <t>jayant69@mit.edu</t>
  </si>
  <si>
    <t>jayant69</t>
  </si>
  <si>
    <t>Arsenic Leaching from Granular Activated Carbon Electrodes in Water Treatment</t>
  </si>
  <si>
    <t>Dr. Muhammad Fahad Ehsan</t>
  </si>
  <si>
    <t>JOR-dun</t>
  </si>
  <si>
    <t>CHONG</t>
  </si>
  <si>
    <t>jordanrc@mit.edu</t>
  </si>
  <si>
    <t>jordanrc</t>
  </si>
  <si>
    <t>Detecting Life in the Clouds: The Feasibility of Using UV Phase Delay Sensing on Venus</t>
  </si>
  <si>
    <t>Prof. Sara Seager</t>
  </si>
  <si>
    <t>KY SHWEN</t>
  </si>
  <si>
    <t>TOH</t>
  </si>
  <si>
    <t>tohk140@mit.edu</t>
  </si>
  <si>
    <t>tohk140</t>
  </si>
  <si>
    <t>Strategic Use of the KR Alpha Synuclein Mutant (G14R + E46K) to Develop Experimental Models of Parkinson's Disease</t>
  </si>
  <si>
    <t>Prof. Ulf Dettmer</t>
  </si>
  <si>
    <t>kah-REEM</t>
  </si>
  <si>
    <t>muh-RAHD</t>
  </si>
  <si>
    <t>kmradddd@mit.edu</t>
  </si>
  <si>
    <t>kmradddd</t>
  </si>
  <si>
    <t>Evaluating Dyadic Foraging Optimization Through the Marginal Value Theorem</t>
  </si>
  <si>
    <t>Prof. Jeremy Wolfe</t>
  </si>
  <si>
    <t>Neuroscience &amp; Psychology</t>
  </si>
  <si>
    <t>KARL</t>
  </si>
  <si>
    <t>CHOO</t>
  </si>
  <si>
    <t>karlc24@mit.edu</t>
  </si>
  <si>
    <t>karlc24</t>
  </si>
  <si>
    <t>Temporal Preferential Attachment Trees</t>
  </si>
  <si>
    <t>Hang Du</t>
  </si>
  <si>
    <t>kah-TREE-nah</t>
  </si>
  <si>
    <t>LYOO</t>
  </si>
  <si>
    <t>liukz@mit.edu</t>
  </si>
  <si>
    <t>liukz</t>
  </si>
  <si>
    <t>Evaluating the Efficacy of RAP-Mediated Steric Hinderance on LRP-1 to Inhibit TcdB Endocytosis and Limit C. difficile Pathogenesis</t>
  </si>
  <si>
    <t>Prof. Min Dong</t>
  </si>
  <si>
    <t>LAH-rah</t>
  </si>
  <si>
    <t>oh-TEE-koh</t>
  </si>
  <si>
    <t>larao369@mit.edu</t>
  </si>
  <si>
    <t>larao369</t>
  </si>
  <si>
    <t>Crown–Root Segmentation in Dental CBCT Using Anatomically Guided Synthetic Annotation</t>
  </si>
  <si>
    <t>LAYTH</t>
  </si>
  <si>
    <t>al-zah-RAH-nee</t>
  </si>
  <si>
    <t>layth224@mit.edu</t>
  </si>
  <si>
    <t>layth224</t>
  </si>
  <si>
    <t>Learning Reciprocity: Value-Based Intrinsic Rewards for Cooperation in Sequential Social Dilemmas</t>
  </si>
  <si>
    <t>LEE-oh-nardo</t>
  </si>
  <si>
    <t>bar-toh-CHEE-nee</t>
  </si>
  <si>
    <t>leobart@mit.edu</t>
  </si>
  <si>
    <t>leobart</t>
  </si>
  <si>
    <t>Lee-yoo</t>
  </si>
  <si>
    <t>Gurr-ma</t>
  </si>
  <si>
    <t>leyug@mit.edu</t>
  </si>
  <si>
    <t>leyug</t>
  </si>
  <si>
    <t>Neptunian Ridge around faint stars</t>
  </si>
  <si>
    <t>LIL-ee Lynn</t>
  </si>
  <si>
    <t>lillieli@mit.edu</t>
  </si>
  <si>
    <t>lillieli</t>
  </si>
  <si>
    <t>Heat Evolution on Graphs</t>
  </si>
  <si>
    <t>Alexander McWeeney</t>
  </si>
  <si>
    <t>LINK-un</t>
  </si>
  <si>
    <t>lliu320@mit.edu</t>
  </si>
  <si>
    <t>lliu320</t>
  </si>
  <si>
    <t>Hybrid controls strategy for Automatic Laser Beam Alignment</t>
  </si>
  <si>
    <t>Prof. Vladan Vuletic</t>
  </si>
  <si>
    <t>LYOOK</t>
  </si>
  <si>
    <t>SEE-mon</t>
  </si>
  <si>
    <t>lluc@mit.edu</t>
  </si>
  <si>
    <t>lluc</t>
  </si>
  <si>
    <t>Effects of material and surface chemistry in heat exchanger</t>
  </si>
  <si>
    <t>Prof. Koroush Shirvan</t>
  </si>
  <si>
    <t>LOH-gun</t>
  </si>
  <si>
    <t>doo-RAHN</t>
  </si>
  <si>
    <t>lwduran@mit.edu</t>
  </si>
  <si>
    <t>lwduran</t>
  </si>
  <si>
    <t>Understanding the Rules of Gene Perturbation Responses</t>
  </si>
  <si>
    <t>Dr. Sumaiya Nazeen</t>
  </si>
  <si>
    <t>loo-SEE-ah</t>
  </si>
  <si>
    <t>CHEN</t>
  </si>
  <si>
    <t>lucichen@mit.edu</t>
  </si>
  <si>
    <t>lucichen</t>
  </si>
  <si>
    <t>LOOK</t>
  </si>
  <si>
    <t>ee-toh-MOO-rah</t>
  </si>
  <si>
    <t>litomura@mit.edu</t>
  </si>
  <si>
    <t>litomura</t>
  </si>
  <si>
    <t>Worming Our Way Out: Analyzing How Developmental Exposure to UNC-31 Degradation and TIR1 affect brain dynamics of C. elegans</t>
  </si>
  <si>
    <t>MAH-hee</t>
  </si>
  <si>
    <t>KOH-lee</t>
  </si>
  <si>
    <t>mahi_k19@mit.edu</t>
  </si>
  <si>
    <t>mahi_k19</t>
  </si>
  <si>
    <t>Evaluating the FDA’s 510(k) Pathway for Approving AI/ML Medical Devices</t>
  </si>
  <si>
    <t>Prof. Timothy Miller</t>
  </si>
  <si>
    <t>mah-HEE-mah</t>
  </si>
  <si>
    <t>LAY-lay</t>
  </si>
  <si>
    <t>mlele123@mit.edu</t>
  </si>
  <si>
    <t>mlele123</t>
  </si>
  <si>
    <t>GPU-Accelerated Numerical Modeling of Idealized Ocean Circulation</t>
  </si>
  <si>
    <t>MAH-lin YAH-nah</t>
  </si>
  <si>
    <t>VEH-gah</t>
  </si>
  <si>
    <t>mjmvega@mit.edu</t>
  </si>
  <si>
    <t>mjmvega</t>
  </si>
  <si>
    <t>Before the Final Assembly: Temporal Leakage and Process Privacy in Covert Tile Automata</t>
  </si>
  <si>
    <t>MAH-tay</t>
  </si>
  <si>
    <t>MEE-nev</t>
  </si>
  <si>
    <t>matey@mit.edu</t>
  </si>
  <si>
    <t>matey</t>
  </si>
  <si>
    <t>Immunological Modeling of Anti-Idiotypic Network Dynamics to Explain Neonatal Tolerance and Adult Responsiveness</t>
  </si>
  <si>
    <t>Prof. James Michaelson</t>
  </si>
  <si>
    <t>MATH-yoo</t>
  </si>
  <si>
    <t>LOH</t>
  </si>
  <si>
    <t>mattlo@mit.edu</t>
  </si>
  <si>
    <t>mattlo</t>
  </si>
  <si>
    <t>Resolving a Conjecture on Stack-Sorting</t>
  </si>
  <si>
    <t>Ryota Inagaki</t>
  </si>
  <si>
    <t>MY-kul</t>
  </si>
  <si>
    <t>LWOH</t>
  </si>
  <si>
    <t>mluo928@mit.edu</t>
  </si>
  <si>
    <t>mluo928</t>
  </si>
  <si>
    <t>Information Flow in Self Organizing Systems</t>
  </si>
  <si>
    <t>Ashu Tripathi</t>
  </si>
  <si>
    <t>mee-GEL</t>
  </si>
  <si>
    <t>SHIM</t>
  </si>
  <si>
    <t>shim112@mit.edu</t>
  </si>
  <si>
    <t>shim112</t>
  </si>
  <si>
    <t>Optical pulse shaping for quantum-enhanced clocks</t>
  </si>
  <si>
    <t>mee-KOH-why</t>
  </si>
  <si>
    <t>steh-FAH-nyak</t>
  </si>
  <si>
    <t>mikolaj@mit.edu</t>
  </si>
  <si>
    <t>mikolaj</t>
  </si>
  <si>
    <t>Visualizing Neuropsychological Profiles in Patients with Alzheimer's Disease</t>
  </si>
  <si>
    <t>Dr. Daniel Press and Dr. Hsueh-Sheng Chiang</t>
  </si>
  <si>
    <t>MEE-rah</t>
  </si>
  <si>
    <t>CHAHK-mahk</t>
  </si>
  <si>
    <t>mira_c36@mit.edu</t>
  </si>
  <si>
    <t>mira_c36</t>
  </si>
  <si>
    <t>Prof. Francis Loth and Hannah Higgins</t>
  </si>
  <si>
    <t>moos-TAH-fah</t>
  </si>
  <si>
    <t>bah-koh-DEE-rov</t>
  </si>
  <si>
    <t>mbakhod@mit.edu</t>
  </si>
  <si>
    <t>mbakhod</t>
  </si>
  <si>
    <t>Neighborhood Disadvantage, White Matter Development, and Child Outcomes: Evidence from the ABCD Study</t>
  </si>
  <si>
    <t>Dr. Yogesh Rathi, Dr. Sinead Marie Kelly, Dr. Lipeng Ning</t>
  </si>
  <si>
    <t>NAH-bet</t>
  </si>
  <si>
    <t>el hah-JAR</t>
  </si>
  <si>
    <t>nabet@mit.edu</t>
  </si>
  <si>
    <t>nabet</t>
  </si>
  <si>
    <t>A Teleoperation System as a Data Engine for Learning System Dynamics</t>
  </si>
  <si>
    <t>NAH-mee</t>
  </si>
  <si>
    <t>JAH-ya</t>
  </si>
  <si>
    <t>namie@mit.edu</t>
  </si>
  <si>
    <t>namie</t>
  </si>
  <si>
    <t>No-wong</t>
  </si>
  <si>
    <t>nahm-GYEL</t>
  </si>
  <si>
    <t>ngawang1@mit.edu</t>
  </si>
  <si>
    <t>ngawang1</t>
  </si>
  <si>
    <t>On Supersingular Isogeny Graphs of Drinfeld Modules</t>
  </si>
  <si>
    <t>Ayan Nath</t>
  </si>
  <si>
    <t>NIH-koh-lah</t>
  </si>
  <si>
    <t>veh-SEL-ih-nov</t>
  </si>
  <si>
    <t>nveselin@mit.edu</t>
  </si>
  <si>
    <t>nveselin</t>
  </si>
  <si>
    <t>The computational conversion of a singular apo structure to an ensemble of holo structures for more accurate molecular docking</t>
  </si>
  <si>
    <t>Dr. Mrinal Shekhar</t>
  </si>
  <si>
    <t>pah-VAHN</t>
  </si>
  <si>
    <t>soo-brah-MAH-nee</t>
  </si>
  <si>
    <t>psubra18@mit.edu</t>
  </si>
  <si>
    <t>psubra18</t>
  </si>
  <si>
    <t>Prof. Fengfeng Bei</t>
  </si>
  <si>
    <t>rah-KEL</t>
  </si>
  <si>
    <t>GOH-mez HOON-koh LOH-boh</t>
  </si>
  <si>
    <t>raquelgj@mit.edu</t>
  </si>
  <si>
    <t>raquelgj</t>
  </si>
  <si>
    <t>Functional Neural Connectivity During Inactivation of the Anterior Insula in Fentanyl-Administered Rats</t>
  </si>
  <si>
    <t>RIH-shee</t>
  </si>
  <si>
    <t>pum-PAH-tee</t>
  </si>
  <si>
    <t>rishi007@mit.edu</t>
  </si>
  <si>
    <t>rishi007</t>
  </si>
  <si>
    <t>Simplified Volume Formulas for Tetrahedron by Edge-length Symmetry Class</t>
  </si>
  <si>
    <t>Prof. Eric Grinberg</t>
  </si>
  <si>
    <t>REE-yah</t>
  </si>
  <si>
    <t>meh-ROH-trah</t>
  </si>
  <si>
    <t>riyam114@mit.edu</t>
  </si>
  <si>
    <t>riyam114</t>
  </si>
  <si>
    <t>Neural CBF-based Safe RL for Robot Locomotion</t>
  </si>
  <si>
    <t>ROH-hun</t>
  </si>
  <si>
    <t>peh-dah-MAH-loo</t>
  </si>
  <si>
    <t>rohanpr@mit.edu</t>
  </si>
  <si>
    <t>rohanpr</t>
  </si>
  <si>
    <t>Investigating the Role of Alternative Polyadenylation in Obesity-Induced Cardiac Endothelial Inflammation</t>
  </si>
  <si>
    <t>Dr. Basak Icli</t>
  </si>
  <si>
    <t>ROO-chih-kah</t>
  </si>
  <si>
    <t>rah-mah-CHUN-drun</t>
  </si>
  <si>
    <t>ruchram8@mit.edu</t>
  </si>
  <si>
    <t>ruchram8</t>
  </si>
  <si>
    <t>Identifying Alternative Stimulatory Receptors for TCR-independent Activation of T-cells</t>
  </si>
  <si>
    <t>SA-RA</t>
  </si>
  <si>
    <t>MITCH-ul</t>
  </si>
  <si>
    <t>sarmit21@mit.edu</t>
  </si>
  <si>
    <t>sarmit21</t>
  </si>
  <si>
    <t>Prof. Ron Weiss</t>
  </si>
  <si>
    <t>SAIR-ah</t>
  </si>
  <si>
    <t>DING-lee</t>
  </si>
  <si>
    <t>srdingli@mit.edu</t>
  </si>
  <si>
    <t>srdingli</t>
  </si>
  <si>
    <t>The Mitotic Basis of the Human Mind</t>
  </si>
  <si>
    <t>PARK</t>
  </si>
  <si>
    <t>sgpark@mit.edu</t>
  </si>
  <si>
    <t>sgpark</t>
  </si>
  <si>
    <t>Frog Search: A New Way to Measure Guidance by Color in Visual Search</t>
  </si>
  <si>
    <t>seh-LEEN (English) or seh-LEE-neh (Spanish)</t>
  </si>
  <si>
    <t>MAHN-zoh</t>
  </si>
  <si>
    <t>selenem@mit.edu</t>
  </si>
  <si>
    <t>selenem</t>
  </si>
  <si>
    <t>Characterization of Nanobody Binding to HIV-1 Capsid-Like Particles via Biolayer Interferometry</t>
  </si>
  <si>
    <t>Dr. Ky Lowenhaupt</t>
  </si>
  <si>
    <t>SHAH-den</t>
  </si>
  <si>
    <t>al-HAR-bee</t>
  </si>
  <si>
    <t>shadenfm@mit.edu</t>
  </si>
  <si>
    <t>shadenfm</t>
  </si>
  <si>
    <t>Examining the Relationship Between Executive Function and Behavioural Outcomes in Children</t>
  </si>
  <si>
    <t>Prof. John D. E. Gabrieli</t>
  </si>
  <si>
    <t>shrih-VUH-lee</t>
  </si>
  <si>
    <t>GOOP-tah</t>
  </si>
  <si>
    <t>shrivali@mit.edu</t>
  </si>
  <si>
    <t>shrivali</t>
  </si>
  <si>
    <t>Constraints on Cosmic Reionization and the Thomson Optical Depth via the Population III.1 Flash Model</t>
  </si>
  <si>
    <t>Dr. James Sullivan</t>
  </si>
  <si>
    <t>SID-hee</t>
  </si>
  <si>
    <t>KOH-char</t>
  </si>
  <si>
    <t>siddhik@mit.edu</t>
  </si>
  <si>
    <t>siddhik</t>
  </si>
  <si>
    <t>Critical Groups of Signed Subdivided Wheels</t>
  </si>
  <si>
    <t>SEER-ee-us</t>
  </si>
  <si>
    <t>SUN</t>
  </si>
  <si>
    <t>sirius_s@mit.edu</t>
  </si>
  <si>
    <t>sirius_s</t>
  </si>
  <si>
    <t>Predicted glycolytic reprogramming in a microglial substate across neurodegenerative diseases.</t>
  </si>
  <si>
    <t>soh-FEE-ah</t>
  </si>
  <si>
    <t>PAH-sohs</t>
  </si>
  <si>
    <t>sofia937@mit.edu</t>
  </si>
  <si>
    <t>sofia937</t>
  </si>
  <si>
    <t>JOW</t>
  </si>
  <si>
    <t>sophiawz@mit.edu</t>
  </si>
  <si>
    <t>sophiawz</t>
  </si>
  <si>
    <t>The Talking Risk Calculator: An Agentic Pipeline for Multi-Factor Cancer Risk Assessment</t>
  </si>
  <si>
    <t>Dr. Cong Liu, Dr. Kamalakkannan Ravi</t>
  </si>
  <si>
    <t>SOWM-yah</t>
  </si>
  <si>
    <t>SAHN-kah-run</t>
  </si>
  <si>
    <t>sowmya44@mit.edu</t>
  </si>
  <si>
    <t>sowmya44</t>
  </si>
  <si>
    <t>Life is a Game: Learning Dynamical Systems with Neural Cellular Automata</t>
  </si>
  <si>
    <t>SIL-vee-ah</t>
  </si>
  <si>
    <t>szl129@mit.edu</t>
  </si>
  <si>
    <t>szl129</t>
  </si>
  <si>
    <t>AutoOnboarding Agentic LLMs</t>
  </si>
  <si>
    <t>tah-NAY</t>
  </si>
  <si>
    <t>ah-ROH-rah</t>
  </si>
  <si>
    <t>tarora@mit.edu</t>
  </si>
  <si>
    <t>tarora</t>
  </si>
  <si>
    <t>TAH-rah</t>
  </si>
  <si>
    <t>SAY-nee</t>
  </si>
  <si>
    <t>tsaini@mit.edu</t>
  </si>
  <si>
    <t>tsaini</t>
  </si>
  <si>
    <t>Open Cases of the Colmez Conjecture</t>
  </si>
  <si>
    <t>TIM-oh-thee</t>
  </si>
  <si>
    <t>ctimothy@mit.edu</t>
  </si>
  <si>
    <t>ctimothy</t>
  </si>
  <si>
    <t>Asymptotics for Curve Shortening Flow with Boundary</t>
  </si>
  <si>
    <t>TOH-nee</t>
  </si>
  <si>
    <t>LOO</t>
  </si>
  <si>
    <t>tlu27@mit.edu</t>
  </si>
  <si>
    <t>tlu27</t>
  </si>
  <si>
    <t>TRIS-tun</t>
  </si>
  <si>
    <t>tris@mit.edu</t>
  </si>
  <si>
    <t>tris</t>
  </si>
  <si>
    <t>SHIN-dee</t>
  </si>
  <si>
    <t>xindi578@mit.edu</t>
  </si>
  <si>
    <t>xindi578</t>
  </si>
  <si>
    <t>Vibration Mitigation for Atomic-Resolution Imaging in Scanning Four-Probe Microscopy</t>
  </si>
  <si>
    <t>Prof. Jenny Hoffman</t>
  </si>
  <si>
    <t>yair-NAR</t>
  </si>
  <si>
    <t>DOSS-kahn</t>
  </si>
  <si>
    <t>doskhan@mit.edu</t>
  </si>
  <si>
    <t>doskhan</t>
  </si>
  <si>
    <t>YONG</t>
  </si>
  <si>
    <t>DING</t>
  </si>
  <si>
    <t>yding27@mit.edu</t>
  </si>
  <si>
    <t>yding27</t>
  </si>
  <si>
    <t>Forecasting Seizure Spread in Epilepsy Patients Using Deep Learning Models of Electroencephalographic Activity</t>
  </si>
  <si>
    <t>Vighnesh Subramaniam</t>
  </si>
  <si>
    <t>YOON SEH-oh</t>
  </si>
  <si>
    <t>PYOH</t>
  </si>
  <si>
    <t>yspyo@mit.edu</t>
  </si>
  <si>
    <t>yspyo</t>
  </si>
  <si>
    <t>Understanding the Role of Radiative Feedbacks and Forcings in the Land-Sea Warming Contrast</t>
  </si>
  <si>
    <t>Prof. Paul O'Gorman</t>
  </si>
  <si>
    <t>ZEF-er</t>
  </si>
  <si>
    <t>LAR-sun</t>
  </si>
  <si>
    <t>zephyr27@mit.edu</t>
  </si>
  <si>
    <t>zephyr27</t>
  </si>
  <si>
    <t>Towards Scaling Laws For Long-Horizon Software Engineering Agents</t>
  </si>
  <si>
    <t>AHL-vah-ro Daniel</t>
  </si>
  <si>
    <t>vee-ya-FWER-teh gon-SAH-les</t>
  </si>
  <si>
    <t>advg@mit.edu</t>
  </si>
  <si>
    <t>advg</t>
  </si>
  <si>
    <t>Reference-Anchored Computational Design of Domain-Preserving ASXL3 Minigenes for AAV Gene Therapy in Bainbridge-Ropers Syndrome</t>
  </si>
  <si>
    <t>Dr. Sarah Bricault</t>
  </si>
  <si>
    <t>A Taxicab Journey to Triangle Centres</t>
  </si>
  <si>
    <t>Enumerating Nilpotent Matrices over Finite Fields</t>
  </si>
  <si>
    <t>Sinkhorn Schrödinger Bridges for Graph Interpolations</t>
  </si>
  <si>
    <t>Using Cell-Projected Phenotypes to study HIV induced cognitive decline</t>
  </si>
  <si>
    <t>Two-Stage Outcome-Based Reinforcement Learning for a Compact Medical Vision-Language Model</t>
  </si>
  <si>
    <t>Parametric Study of Regime Transition in Quasi-Geostrophic Turbulence</t>
  </si>
  <si>
    <t>Prof. Peter Lu, Mateusz Zubrzycki</t>
  </si>
  <si>
    <t>Reachability-Based Path Planning Across Autonomous Ocean Vehicle Platforms</t>
  </si>
  <si>
    <t>Building a Machine Learning Model to Resolve C. elegans Collisions</t>
  </si>
  <si>
    <t>Patient-Specific Modeling of Cerebrospinal Fluid Flow in Chiari I Malformation</t>
  </si>
  <si>
    <t>A Fission Yeast High-Throughput Screen Identifies Candidate Small-Molecule Inhibitors of Plasmodium falciparum PDEα</t>
  </si>
  <si>
    <t>Mapping Myo-15 Cre Activity in Cochleae to Validate Disease Models for​ Usher Syndrome Type 1F Gene Therapy</t>
  </si>
  <si>
    <t>Single-Nucleus Dissection of Nine Alzheimer's Disease Comorbidities</t>
  </si>
  <si>
    <t>Quantifying the Information Availability of Spatial Observations for Ocean Flow Field Reconstruction with Diffusion Posterior Sampling</t>
  </si>
  <si>
    <t>Low-Reynolds-Number Porous Bleed for Separation Control on Hypersonic Airplanes</t>
  </si>
  <si>
    <t>Resolutions for Quotients of One-Relator Groups</t>
  </si>
  <si>
    <t>Gyromagnetic Ratio and Protactinium Isotope-Shift Mapping for Electric Dipole Moment Searches</t>
  </si>
  <si>
    <t>9:00 AM – 9:15 AM</t>
  </si>
  <si>
    <t>9:15 AM – 9:30 AM</t>
  </si>
  <si>
    <t>9:30 AM – 9:45 AM</t>
  </si>
  <si>
    <t>9:45 AM – 10:00 AM</t>
  </si>
  <si>
    <t>11:00 AM – 11:15 AM</t>
  </si>
  <si>
    <t>11:15 AM – 11:30 AM</t>
  </si>
  <si>
    <t>11:30 AM – 11:45 AM</t>
  </si>
  <si>
    <t>11:45 AM – 12:00 PM</t>
  </si>
  <si>
    <t>Recovering Long-Transit Planet Signals in TESS Light Curves with Improved KeplerSpline Detrending</t>
  </si>
  <si>
    <t>12:00 PM – 12:15 PM</t>
  </si>
  <si>
    <t>12:15 PM – 12:30 PM</t>
  </si>
  <si>
    <t>10:00 AM – 10:15 AM</t>
  </si>
  <si>
    <t>10:15 AM – 10:30 AM</t>
  </si>
  <si>
    <t>1:15 PM – 1:30 PM</t>
  </si>
  <si>
    <t>1:30 PM – 1:45 PM</t>
  </si>
  <si>
    <t>1:45 PM – 2:00 PM</t>
  </si>
  <si>
    <t>2:00 PM – 2:15 PM</t>
  </si>
  <si>
    <t>2:15 PM – 2:30 PM</t>
  </si>
  <si>
    <t>2:30 PM – 2:45 PM</t>
  </si>
  <si>
    <t>3:15 PM – 3:30 PM</t>
  </si>
  <si>
    <t>3:30 PM – 3:45 PM</t>
  </si>
  <si>
    <t>3:45 PM – 4:00 PM</t>
  </si>
  <si>
    <t>4:00 PM – 4:15 PM</t>
  </si>
  <si>
    <t>4:15 PM – 4:30 PM</t>
  </si>
  <si>
    <t>4:30 PM – 4:45 PM</t>
  </si>
  <si>
    <t>S-Flow: Harnessing Informed Sampling for Flow Models in Perturbation-Aware Quantum State Tomography</t>
  </si>
  <si>
    <t>Counting Prime Solutions to Quadratic Forms</t>
  </si>
  <si>
    <t>Optimization of a Yeast-Based High-Throughput Screening Platform to Detect Small-Molecule Modulators of PfPDE𝛄  for Antimalarial Drug Discovery</t>
  </si>
  <si>
    <t>Computational and Mathematical Modeling of Cellular Dynamics in Hydrogels to Optimize Large-Scale Bioprinting</t>
  </si>
  <si>
    <t>Effect of ZAP70 Mutations on CAR T-Cell Effectiveness Targeting GD2 in Cancer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</si>
</sst>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1E293B"/>
      <name val="Calibri"/>
      <family val="2"/>
    </font>
    <font>
      <i/>
      <sz val="10"/>
      <color rgb="FF64748B"/>
      <name val="Calibri"/>
      <family val="2"/>
    </font>
    <font>
      <b/>
      <sz val="13"/>
      <color rgb="FFFFFFFF"/>
      <name val="Calibri"/>
      <family val="2"/>
    </font>
    <font>
      <b/>
      <sz val="11"/>
      <color rgb="FF1E293B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i/>
      <sz val="11"/>
      <color rgb="FF92400E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6" fillId="5" borderId="0" xfId="0" applyFont="1" applyFill="1"/>
    <xf numFmtId="0" fontId="7" fillId="5" borderId="0" xfId="0" applyFont="1" applyFill="1" applyAlignment="1">
      <alignment horizontal="center"/>
    </xf>
    <xf numFmtId="0" fontId="8" fillId="0" borderId="0" xfId="0" applyFont="1"/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10" fillId="0" borderId="1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33">
    <dxf>
      <font>
        <sz val="9"/>
        <color rgb="FF475569"/>
      </font>
      <fill>
        <patternFill patternType="solid">
          <fgColor rgb="FFF1F5F9"/>
        </patternFill>
      </fill>
    </dxf>
    <dxf>
      <font>
        <sz val="9"/>
        <color rgb="FFBE123C"/>
      </font>
      <fill>
        <patternFill patternType="solid">
          <fgColor rgb="FFFFE4E6"/>
        </patternFill>
      </fill>
    </dxf>
    <dxf>
      <font>
        <sz val="9"/>
        <color rgb="FF1D4ED8"/>
      </font>
      <fill>
        <patternFill patternType="solid">
          <fgColor rgb="FFDBEAFE"/>
        </patternFill>
      </fill>
    </dxf>
    <dxf>
      <font>
        <sz val="9"/>
        <color rgb="FF0F766E"/>
      </font>
      <fill>
        <patternFill patternType="solid">
          <fgColor rgb="FFCCFBF1"/>
        </patternFill>
      </fill>
    </dxf>
    <dxf>
      <font>
        <sz val="9"/>
        <color rgb="FFBE185D"/>
      </font>
      <fill>
        <patternFill patternType="solid">
          <fgColor rgb="FFFCE7F3"/>
        </patternFill>
      </fill>
    </dxf>
    <dxf>
      <font>
        <sz val="9"/>
        <color rgb="FF6D28D9"/>
      </font>
      <fill>
        <patternFill patternType="solid">
          <fgColor rgb="FFEDE9FE"/>
        </patternFill>
      </fill>
    </dxf>
    <dxf>
      <font>
        <sz val="9"/>
        <color rgb="FF047857"/>
      </font>
      <fill>
        <patternFill patternType="solid">
          <fgColor rgb="FFD1FAE5"/>
        </patternFill>
      </fill>
    </dxf>
    <dxf>
      <font>
        <sz val="9"/>
        <color rgb="FFB45309"/>
      </font>
      <fill>
        <patternFill patternType="solid">
          <fgColor rgb="FFFEF3C7"/>
        </patternFill>
      </fill>
    </dxf>
    <dxf>
      <font>
        <sz val="9"/>
        <color rgb="FF4338CA"/>
      </font>
      <fill>
        <patternFill patternType="solid">
          <fgColor rgb="FFE0E7FF"/>
        </patternFill>
      </fill>
    </dxf>
    <dxf>
      <font>
        <sz val="9"/>
        <color rgb="FFC2410C"/>
      </font>
      <fill>
        <patternFill patternType="solid">
          <fgColor rgb="FFFFEDD5"/>
        </patternFill>
      </fill>
    </dxf>
    <dxf>
      <font>
        <sz val="9"/>
        <color rgb="FF0E7490"/>
      </font>
      <fill>
        <patternFill patternType="solid">
          <fgColor rgb="FFCFFAFE"/>
        </patternFill>
      </fill>
    </dxf>
    <dxf>
      <font>
        <sz val="9"/>
        <color rgb="FF475569"/>
      </font>
      <fill>
        <patternFill patternType="solid">
          <fgColor rgb="FFF1F5F9"/>
        </patternFill>
      </fill>
    </dxf>
    <dxf>
      <font>
        <sz val="9"/>
        <color rgb="FF1D4ED8"/>
      </font>
      <fill>
        <patternFill patternType="solid">
          <fgColor rgb="FFDBEAFE"/>
        </patternFill>
      </fill>
    </dxf>
    <dxf>
      <font>
        <sz val="9"/>
        <color rgb="FFBE123C"/>
      </font>
      <fill>
        <patternFill patternType="solid">
          <fgColor rgb="FFFFE4E6"/>
        </patternFill>
      </fill>
    </dxf>
    <dxf>
      <font>
        <sz val="9"/>
        <color rgb="FF0F766E"/>
      </font>
      <fill>
        <patternFill patternType="solid">
          <fgColor rgb="FFCCFBF1"/>
        </patternFill>
      </fill>
    </dxf>
    <dxf>
      <font>
        <sz val="9"/>
        <color rgb="FF6D28D9"/>
      </font>
      <fill>
        <patternFill patternType="solid">
          <fgColor rgb="FFEDE9FE"/>
        </patternFill>
      </fill>
    </dxf>
    <dxf>
      <font>
        <sz val="9"/>
        <color rgb="FFBE185D"/>
      </font>
      <fill>
        <patternFill patternType="solid">
          <fgColor rgb="FFFCE7F3"/>
        </patternFill>
      </fill>
    </dxf>
    <dxf>
      <font>
        <sz val="9"/>
        <color rgb="FF047857"/>
      </font>
      <fill>
        <patternFill patternType="solid">
          <fgColor rgb="FFD1FAE5"/>
        </patternFill>
      </fill>
    </dxf>
    <dxf>
      <font>
        <sz val="9"/>
        <color rgb="FF4338CA"/>
      </font>
      <fill>
        <patternFill patternType="solid">
          <fgColor rgb="FFE0E7FF"/>
        </patternFill>
      </fill>
    </dxf>
    <dxf>
      <font>
        <sz val="9"/>
        <color rgb="FF0E7490"/>
      </font>
      <fill>
        <patternFill patternType="solid">
          <fgColor rgb="FFCFFAFE"/>
        </patternFill>
      </fill>
    </dxf>
    <dxf>
      <font>
        <sz val="9"/>
        <color rgb="FFC2410C"/>
      </font>
      <fill>
        <patternFill patternType="solid">
          <fgColor rgb="FFFFEDD5"/>
        </patternFill>
      </fill>
    </dxf>
    <dxf>
      <font>
        <sz val="9"/>
        <color rgb="FFB45309"/>
      </font>
      <fill>
        <patternFill patternType="solid">
          <fgColor rgb="FFFEF3C7"/>
        </patternFill>
      </fill>
    </dxf>
    <dxf>
      <font>
        <sz val="9"/>
        <color rgb="FFB45309"/>
      </font>
      <fill>
        <patternFill patternType="solid">
          <fgColor rgb="FFFEF3C7"/>
        </patternFill>
      </fill>
    </dxf>
    <dxf>
      <font>
        <sz val="9"/>
        <color rgb="FF0E7490"/>
      </font>
      <fill>
        <patternFill patternType="solid">
          <fgColor rgb="FFCFFAFE"/>
        </patternFill>
      </fill>
    </dxf>
    <dxf>
      <font>
        <sz val="9"/>
        <color rgb="FF1D4ED8"/>
      </font>
      <fill>
        <patternFill patternType="solid">
          <fgColor rgb="FFDBEAFE"/>
        </patternFill>
      </fill>
    </dxf>
    <dxf>
      <font>
        <sz val="9"/>
        <color rgb="FF047857"/>
      </font>
      <fill>
        <patternFill patternType="solid">
          <fgColor rgb="FFD1FAE5"/>
        </patternFill>
      </fill>
    </dxf>
    <dxf>
      <font>
        <sz val="9"/>
        <color rgb="FF4338CA"/>
      </font>
      <fill>
        <patternFill patternType="solid">
          <fgColor rgb="FFE0E7FF"/>
        </patternFill>
      </fill>
    </dxf>
    <dxf>
      <font>
        <sz val="9"/>
        <color rgb="FFBE185D"/>
      </font>
      <fill>
        <patternFill patternType="solid">
          <fgColor rgb="FFFCE7F3"/>
        </patternFill>
      </fill>
    </dxf>
    <dxf>
      <font>
        <sz val="9"/>
        <color rgb="FF0F766E"/>
      </font>
      <fill>
        <patternFill patternType="solid">
          <fgColor rgb="FFCCFBF1"/>
        </patternFill>
      </fill>
    </dxf>
    <dxf>
      <font>
        <sz val="9"/>
        <color rgb="FF6D28D9"/>
      </font>
      <fill>
        <patternFill patternType="solid">
          <fgColor rgb="FFEDE9FE"/>
        </patternFill>
      </fill>
    </dxf>
    <dxf>
      <font>
        <sz val="9"/>
        <color rgb="FFBE123C"/>
      </font>
      <fill>
        <patternFill patternType="solid">
          <fgColor rgb="FFFFE4E6"/>
        </patternFill>
      </fill>
    </dxf>
    <dxf>
      <font>
        <sz val="9"/>
        <color rgb="FF475569"/>
      </font>
      <fill>
        <patternFill patternType="solid">
          <fgColor rgb="FFF1F5F9"/>
        </patternFill>
      </fill>
    </dxf>
    <dxf>
      <font>
        <sz val="9"/>
        <color rgb="FFC2410C"/>
      </font>
      <fill>
        <patternFill patternType="solid">
          <fgColor rgb="FFFFEDD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188" workbookViewId="0">
      <pane ySplit="1" topLeftCell="A17" activePane="bottomLeft" state="frozen"/>
      <selection pane="bottomLeft" activeCell="B25" sqref="B25"/>
    </sheetView>
  </sheetViews>
  <sheetFormatPr baseColWidth="10" defaultColWidth="8.83203125" defaultRowHeight="15" x14ac:dyDescent="0.2"/>
  <cols>
    <col min="1" max="1" width="24" customWidth="1"/>
    <col min="2" max="2" width="46" customWidth="1"/>
    <col min="3" max="4" width="26" customWidth="1"/>
    <col min="5" max="6" width="20" customWidth="1"/>
    <col min="7" max="7" width="22" customWidth="1"/>
    <col min="8" max="8" width="14" customWidth="1"/>
  </cols>
  <sheetData>
    <row r="1" spans="1:8" x14ac:dyDescent="0.2">
      <c r="A1" s="1" t="s">
        <v>121</v>
      </c>
      <c r="B1" s="1" t="s">
        <v>10</v>
      </c>
      <c r="C1" s="1" t="s">
        <v>11</v>
      </c>
      <c r="D1" s="1" t="s">
        <v>9</v>
      </c>
      <c r="E1" s="1" t="s">
        <v>122</v>
      </c>
      <c r="F1" s="1" t="s">
        <v>123</v>
      </c>
      <c r="G1" s="1" t="s">
        <v>124</v>
      </c>
      <c r="H1" s="1" t="s">
        <v>125</v>
      </c>
    </row>
    <row r="2" spans="1:8" x14ac:dyDescent="0.2">
      <c r="A2" t="s">
        <v>81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</row>
    <row r="3" spans="1:8" x14ac:dyDescent="0.2">
      <c r="A3" t="s">
        <v>93</v>
      </c>
      <c r="B3" t="s">
        <v>703</v>
      </c>
      <c r="C3" t="s">
        <v>133</v>
      </c>
      <c r="D3" t="s">
        <v>134</v>
      </c>
      <c r="E3" t="s">
        <v>135</v>
      </c>
      <c r="F3" t="s">
        <v>136</v>
      </c>
      <c r="G3" t="s">
        <v>137</v>
      </c>
      <c r="H3" t="s">
        <v>138</v>
      </c>
    </row>
    <row r="4" spans="1:8" x14ac:dyDescent="0.2">
      <c r="A4" t="s">
        <v>108</v>
      </c>
      <c r="B4" t="s">
        <v>670</v>
      </c>
      <c r="C4" t="s">
        <v>139</v>
      </c>
      <c r="D4" t="s">
        <v>134</v>
      </c>
      <c r="E4" t="s">
        <v>140</v>
      </c>
      <c r="F4" t="s">
        <v>141</v>
      </c>
      <c r="G4" t="s">
        <v>142</v>
      </c>
      <c r="H4" t="s">
        <v>143</v>
      </c>
    </row>
    <row r="5" spans="1:8" x14ac:dyDescent="0.2">
      <c r="A5" t="s">
        <v>16</v>
      </c>
      <c r="B5" t="s">
        <v>144</v>
      </c>
      <c r="C5" t="s">
        <v>145</v>
      </c>
      <c r="D5" t="s">
        <v>134</v>
      </c>
      <c r="E5" t="s">
        <v>146</v>
      </c>
      <c r="F5" t="s">
        <v>147</v>
      </c>
      <c r="G5" t="s">
        <v>148</v>
      </c>
      <c r="H5" t="s">
        <v>149</v>
      </c>
    </row>
    <row r="6" spans="1:8" x14ac:dyDescent="0.2">
      <c r="A6" t="s">
        <v>18</v>
      </c>
      <c r="B6" t="s">
        <v>150</v>
      </c>
      <c r="C6" t="s">
        <v>151</v>
      </c>
      <c r="D6" t="s">
        <v>128</v>
      </c>
      <c r="E6" t="s">
        <v>152</v>
      </c>
      <c r="F6" t="s">
        <v>153</v>
      </c>
      <c r="G6" t="s">
        <v>154</v>
      </c>
      <c r="H6" t="s">
        <v>155</v>
      </c>
    </row>
    <row r="7" spans="1:8" x14ac:dyDescent="0.2">
      <c r="A7" t="s">
        <v>74</v>
      </c>
      <c r="B7" t="s">
        <v>662</v>
      </c>
      <c r="C7" t="s">
        <v>156</v>
      </c>
      <c r="D7" t="s">
        <v>134</v>
      </c>
      <c r="E7" t="s">
        <v>157</v>
      </c>
      <c r="F7" t="s">
        <v>158</v>
      </c>
      <c r="G7" t="s">
        <v>159</v>
      </c>
      <c r="H7" t="s">
        <v>160</v>
      </c>
    </row>
    <row r="8" spans="1:8" x14ac:dyDescent="0.2">
      <c r="A8" t="s">
        <v>99</v>
      </c>
      <c r="B8" t="s">
        <v>161</v>
      </c>
      <c r="C8" t="s">
        <v>162</v>
      </c>
      <c r="D8" t="s">
        <v>134</v>
      </c>
      <c r="E8" t="s">
        <v>163</v>
      </c>
      <c r="F8" t="s">
        <v>164</v>
      </c>
      <c r="G8" t="s">
        <v>165</v>
      </c>
      <c r="H8" t="s">
        <v>166</v>
      </c>
    </row>
    <row r="9" spans="1:8" x14ac:dyDescent="0.2">
      <c r="A9" t="s">
        <v>77</v>
      </c>
      <c r="B9" t="s">
        <v>167</v>
      </c>
      <c r="C9" t="s">
        <v>156</v>
      </c>
      <c r="D9" t="s">
        <v>134</v>
      </c>
      <c r="E9" t="s">
        <v>168</v>
      </c>
      <c r="F9" t="s">
        <v>169</v>
      </c>
      <c r="G9" t="s">
        <v>170</v>
      </c>
      <c r="H9" t="s">
        <v>171</v>
      </c>
    </row>
    <row r="10" spans="1:8" x14ac:dyDescent="0.2">
      <c r="A10" t="s">
        <v>88</v>
      </c>
      <c r="B10" t="s">
        <v>172</v>
      </c>
      <c r="C10" t="s">
        <v>173</v>
      </c>
      <c r="D10" t="s">
        <v>134</v>
      </c>
      <c r="E10" t="s">
        <v>174</v>
      </c>
      <c r="F10" t="s">
        <v>175</v>
      </c>
      <c r="G10" t="s">
        <v>176</v>
      </c>
      <c r="H10" t="s">
        <v>177</v>
      </c>
    </row>
    <row r="11" spans="1:8" x14ac:dyDescent="0.2">
      <c r="A11" t="s">
        <v>84</v>
      </c>
      <c r="B11" t="s">
        <v>178</v>
      </c>
      <c r="C11" t="s">
        <v>127</v>
      </c>
      <c r="D11" t="s">
        <v>134</v>
      </c>
      <c r="E11" t="s">
        <v>179</v>
      </c>
      <c r="F11" t="s">
        <v>180</v>
      </c>
      <c r="G11" t="s">
        <v>181</v>
      </c>
      <c r="H11" t="s">
        <v>182</v>
      </c>
    </row>
    <row r="12" spans="1:8" x14ac:dyDescent="0.2">
      <c r="A12" t="s">
        <v>112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</row>
    <row r="13" spans="1:8" x14ac:dyDescent="0.2">
      <c r="A13" t="s">
        <v>14</v>
      </c>
      <c r="B13" t="s">
        <v>702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</row>
    <row r="14" spans="1:8" x14ac:dyDescent="0.2">
      <c r="A14" t="s">
        <v>42</v>
      </c>
      <c r="B14" t="s">
        <v>203</v>
      </c>
      <c r="C14" t="s">
        <v>197</v>
      </c>
      <c r="D14" t="s">
        <v>134</v>
      </c>
      <c r="E14" t="s">
        <v>199</v>
      </c>
      <c r="F14" t="s">
        <v>200</v>
      </c>
      <c r="G14" t="s">
        <v>207</v>
      </c>
      <c r="H14" t="s">
        <v>208</v>
      </c>
    </row>
    <row r="15" spans="1:8" x14ac:dyDescent="0.2">
      <c r="A15" t="s">
        <v>52</v>
      </c>
      <c r="B15" t="s">
        <v>209</v>
      </c>
      <c r="C15" t="s">
        <v>204</v>
      </c>
      <c r="D15" t="s">
        <v>211</v>
      </c>
      <c r="E15" t="s">
        <v>205</v>
      </c>
      <c r="F15" t="s">
        <v>206</v>
      </c>
      <c r="G15" t="s">
        <v>213</v>
      </c>
      <c r="H15" t="s">
        <v>214</v>
      </c>
    </row>
    <row r="16" spans="1:8" x14ac:dyDescent="0.2">
      <c r="A16" t="s">
        <v>113</v>
      </c>
      <c r="B16" t="s">
        <v>196</v>
      </c>
      <c r="C16" t="s">
        <v>210</v>
      </c>
      <c r="D16" t="s">
        <v>198</v>
      </c>
      <c r="E16" t="s">
        <v>212</v>
      </c>
      <c r="F16" t="s">
        <v>200</v>
      </c>
      <c r="G16" t="s">
        <v>201</v>
      </c>
      <c r="H16" t="s">
        <v>202</v>
      </c>
    </row>
    <row r="17" spans="1:8" x14ac:dyDescent="0.2">
      <c r="A17" t="s">
        <v>55</v>
      </c>
      <c r="B17" t="s">
        <v>215</v>
      </c>
      <c r="C17" t="s">
        <v>204</v>
      </c>
      <c r="D17" t="s">
        <v>211</v>
      </c>
      <c r="E17" t="s">
        <v>216</v>
      </c>
      <c r="F17" t="s">
        <v>217</v>
      </c>
      <c r="G17" t="s">
        <v>218</v>
      </c>
      <c r="H17" t="s">
        <v>219</v>
      </c>
    </row>
    <row r="18" spans="1:8" x14ac:dyDescent="0.2">
      <c r="A18" t="s">
        <v>101</v>
      </c>
      <c r="B18" t="s">
        <v>220</v>
      </c>
      <c r="C18" t="s">
        <v>631</v>
      </c>
      <c r="D18" t="s">
        <v>198</v>
      </c>
      <c r="E18" t="s">
        <v>221</v>
      </c>
      <c r="F18" t="s">
        <v>222</v>
      </c>
      <c r="G18" t="s">
        <v>223</v>
      </c>
      <c r="H18" t="s">
        <v>224</v>
      </c>
    </row>
    <row r="19" spans="1:8" x14ac:dyDescent="0.2">
      <c r="A19" t="s">
        <v>22</v>
      </c>
      <c r="B19" t="s">
        <v>225</v>
      </c>
      <c r="C19" t="s">
        <v>226</v>
      </c>
      <c r="D19" t="s">
        <v>128</v>
      </c>
      <c r="E19" t="s">
        <v>227</v>
      </c>
      <c r="F19" t="s">
        <v>228</v>
      </c>
      <c r="G19" t="s">
        <v>229</v>
      </c>
      <c r="H19" t="s">
        <v>230</v>
      </c>
    </row>
    <row r="20" spans="1:8" x14ac:dyDescent="0.2">
      <c r="A20" t="s">
        <v>58</v>
      </c>
      <c r="B20" t="s">
        <v>664</v>
      </c>
      <c r="C20" t="s">
        <v>204</v>
      </c>
      <c r="D20" t="s">
        <v>211</v>
      </c>
      <c r="E20" t="s">
        <v>231</v>
      </c>
      <c r="F20" t="s">
        <v>164</v>
      </c>
      <c r="G20" t="s">
        <v>232</v>
      </c>
      <c r="H20" t="s">
        <v>233</v>
      </c>
    </row>
    <row r="21" spans="1:8" x14ac:dyDescent="0.2">
      <c r="A21" t="s">
        <v>66</v>
      </c>
      <c r="B21" t="s">
        <v>661</v>
      </c>
      <c r="C21" t="s">
        <v>234</v>
      </c>
      <c r="D21" t="s">
        <v>128</v>
      </c>
      <c r="E21" t="s">
        <v>235</v>
      </c>
      <c r="F21" t="s">
        <v>236</v>
      </c>
      <c r="G21" t="s">
        <v>237</v>
      </c>
      <c r="H21" t="s">
        <v>238</v>
      </c>
    </row>
    <row r="22" spans="1:8" x14ac:dyDescent="0.2">
      <c r="A22" t="s">
        <v>44</v>
      </c>
      <c r="B22" t="s">
        <v>705</v>
      </c>
      <c r="C22" t="s">
        <v>239</v>
      </c>
      <c r="D22" t="s">
        <v>134</v>
      </c>
      <c r="E22" t="s">
        <v>240</v>
      </c>
      <c r="F22" t="s">
        <v>241</v>
      </c>
      <c r="G22" t="s">
        <v>242</v>
      </c>
      <c r="H22" t="s">
        <v>243</v>
      </c>
    </row>
    <row r="23" spans="1:8" x14ac:dyDescent="0.2">
      <c r="A23" t="s">
        <v>80</v>
      </c>
      <c r="B23" t="s">
        <v>244</v>
      </c>
      <c r="C23" t="s">
        <v>156</v>
      </c>
      <c r="D23" t="s">
        <v>134</v>
      </c>
      <c r="E23" t="s">
        <v>245</v>
      </c>
      <c r="F23" t="s">
        <v>246</v>
      </c>
      <c r="G23" t="s">
        <v>247</v>
      </c>
      <c r="H23" t="s">
        <v>248</v>
      </c>
    </row>
    <row r="24" spans="1:8" x14ac:dyDescent="0.2">
      <c r="A24" t="s">
        <v>61</v>
      </c>
      <c r="B24" t="s">
        <v>249</v>
      </c>
      <c r="C24" t="s">
        <v>204</v>
      </c>
      <c r="D24" t="s">
        <v>211</v>
      </c>
      <c r="E24" t="s">
        <v>250</v>
      </c>
      <c r="F24" t="s">
        <v>251</v>
      </c>
      <c r="G24" t="s">
        <v>252</v>
      </c>
      <c r="H24" t="s">
        <v>253</v>
      </c>
    </row>
    <row r="25" spans="1:8" x14ac:dyDescent="0.2">
      <c r="A25" t="s">
        <v>76</v>
      </c>
      <c r="B25" t="s">
        <v>684</v>
      </c>
      <c r="C25" t="s">
        <v>254</v>
      </c>
      <c r="D25" t="s">
        <v>255</v>
      </c>
      <c r="E25" t="s">
        <v>256</v>
      </c>
      <c r="F25" t="s">
        <v>257</v>
      </c>
      <c r="G25" t="s">
        <v>258</v>
      </c>
      <c r="H25" t="s">
        <v>259</v>
      </c>
    </row>
    <row r="26" spans="1:8" x14ac:dyDescent="0.2">
      <c r="A26" t="s">
        <v>69</v>
      </c>
      <c r="B26" t="s">
        <v>673</v>
      </c>
      <c r="C26" t="s">
        <v>260</v>
      </c>
      <c r="D26" t="s">
        <v>261</v>
      </c>
      <c r="E26" t="s">
        <v>262</v>
      </c>
      <c r="F26" t="s">
        <v>263</v>
      </c>
      <c r="G26" t="s">
        <v>264</v>
      </c>
      <c r="H26" t="s">
        <v>265</v>
      </c>
    </row>
    <row r="27" spans="1:8" x14ac:dyDescent="0.2">
      <c r="A27" t="s">
        <v>56</v>
      </c>
      <c r="B27" t="s">
        <v>266</v>
      </c>
      <c r="C27" t="s">
        <v>267</v>
      </c>
      <c r="D27" t="s">
        <v>128</v>
      </c>
      <c r="E27" t="s">
        <v>268</v>
      </c>
      <c r="F27" t="s">
        <v>269</v>
      </c>
      <c r="G27" t="s">
        <v>270</v>
      </c>
      <c r="H27" t="s">
        <v>271</v>
      </c>
    </row>
    <row r="28" spans="1:8" x14ac:dyDescent="0.2">
      <c r="A28" t="s">
        <v>95</v>
      </c>
      <c r="B28" t="s">
        <v>278</v>
      </c>
      <c r="C28" t="s">
        <v>273</v>
      </c>
      <c r="D28" t="s">
        <v>185</v>
      </c>
      <c r="E28" t="s">
        <v>274</v>
      </c>
      <c r="F28" t="s">
        <v>275</v>
      </c>
      <c r="G28" t="s">
        <v>279</v>
      </c>
      <c r="H28" t="s">
        <v>280</v>
      </c>
    </row>
    <row r="29" spans="1:8" x14ac:dyDescent="0.2">
      <c r="A29" t="s">
        <v>98</v>
      </c>
      <c r="B29" t="s">
        <v>272</v>
      </c>
      <c r="C29" t="s">
        <v>273</v>
      </c>
      <c r="D29" t="s">
        <v>185</v>
      </c>
      <c r="E29" t="s">
        <v>274</v>
      </c>
      <c r="F29" t="s">
        <v>200</v>
      </c>
      <c r="G29" t="s">
        <v>276</v>
      </c>
      <c r="H29" t="s">
        <v>277</v>
      </c>
    </row>
    <row r="30" spans="1:8" x14ac:dyDescent="0.2">
      <c r="A30" t="s">
        <v>115</v>
      </c>
      <c r="B30" t="s">
        <v>281</v>
      </c>
      <c r="C30" t="s">
        <v>184</v>
      </c>
      <c r="D30" t="s">
        <v>185</v>
      </c>
      <c r="E30" t="s">
        <v>282</v>
      </c>
      <c r="F30" t="s">
        <v>283</v>
      </c>
      <c r="G30" t="s">
        <v>284</v>
      </c>
      <c r="H30" t="s">
        <v>285</v>
      </c>
    </row>
    <row r="31" spans="1:8" x14ac:dyDescent="0.2">
      <c r="A31" t="s">
        <v>78</v>
      </c>
      <c r="B31" t="s">
        <v>675</v>
      </c>
      <c r="C31" t="s">
        <v>286</v>
      </c>
      <c r="D31" t="s">
        <v>198</v>
      </c>
      <c r="E31" t="s">
        <v>287</v>
      </c>
      <c r="F31" t="s">
        <v>288</v>
      </c>
      <c r="G31" t="s">
        <v>289</v>
      </c>
      <c r="H31" t="s">
        <v>290</v>
      </c>
    </row>
    <row r="32" spans="1:8" x14ac:dyDescent="0.2">
      <c r="A32" t="s">
        <v>92</v>
      </c>
      <c r="B32" t="s">
        <v>291</v>
      </c>
      <c r="C32" t="s">
        <v>292</v>
      </c>
      <c r="D32" t="s">
        <v>293</v>
      </c>
      <c r="E32" t="s">
        <v>294</v>
      </c>
      <c r="F32" t="s">
        <v>295</v>
      </c>
      <c r="G32" t="s">
        <v>296</v>
      </c>
      <c r="H32" t="s">
        <v>297</v>
      </c>
    </row>
    <row r="33" spans="1:8" x14ac:dyDescent="0.2">
      <c r="A33" t="s">
        <v>32</v>
      </c>
      <c r="B33" t="s">
        <v>298</v>
      </c>
      <c r="C33" t="s">
        <v>299</v>
      </c>
      <c r="D33" t="s">
        <v>255</v>
      </c>
      <c r="E33" t="s">
        <v>300</v>
      </c>
      <c r="F33" t="s">
        <v>301</v>
      </c>
      <c r="G33" t="s">
        <v>302</v>
      </c>
      <c r="H33" t="s">
        <v>303</v>
      </c>
    </row>
    <row r="34" spans="1:8" x14ac:dyDescent="0.2">
      <c r="A34" t="s">
        <v>21</v>
      </c>
      <c r="B34" t="s">
        <v>663</v>
      </c>
      <c r="C34" t="s">
        <v>151</v>
      </c>
      <c r="D34" t="s">
        <v>128</v>
      </c>
      <c r="E34" t="s">
        <v>304</v>
      </c>
      <c r="F34" t="s">
        <v>305</v>
      </c>
      <c r="G34" t="s">
        <v>306</v>
      </c>
      <c r="H34" t="s">
        <v>307</v>
      </c>
    </row>
    <row r="35" spans="1:8" x14ac:dyDescent="0.2">
      <c r="A35" t="s">
        <v>19</v>
      </c>
      <c r="B35" t="s">
        <v>667</v>
      </c>
      <c r="C35" t="s">
        <v>145</v>
      </c>
      <c r="D35" t="s">
        <v>128</v>
      </c>
      <c r="E35" t="s">
        <v>308</v>
      </c>
      <c r="F35" t="s">
        <v>309</v>
      </c>
      <c r="G35" t="s">
        <v>310</v>
      </c>
      <c r="H35" t="s">
        <v>311</v>
      </c>
    </row>
    <row r="36" spans="1:8" x14ac:dyDescent="0.2">
      <c r="A36" t="s">
        <v>60</v>
      </c>
      <c r="B36" t="s">
        <v>312</v>
      </c>
      <c r="C36" t="s">
        <v>313</v>
      </c>
      <c r="D36" t="s">
        <v>134</v>
      </c>
      <c r="E36" t="s">
        <v>314</v>
      </c>
      <c r="F36" t="s">
        <v>315</v>
      </c>
      <c r="G36" t="s">
        <v>316</v>
      </c>
      <c r="H36" t="s">
        <v>317</v>
      </c>
    </row>
    <row r="37" spans="1:8" x14ac:dyDescent="0.2">
      <c r="A37" t="s">
        <v>17</v>
      </c>
      <c r="B37" t="s">
        <v>318</v>
      </c>
      <c r="C37" t="s">
        <v>190</v>
      </c>
      <c r="D37" t="s">
        <v>191</v>
      </c>
      <c r="E37" t="s">
        <v>319</v>
      </c>
      <c r="F37" t="s">
        <v>320</v>
      </c>
      <c r="G37" t="s">
        <v>321</v>
      </c>
      <c r="H37" t="s">
        <v>322</v>
      </c>
    </row>
    <row r="38" spans="1:8" x14ac:dyDescent="0.2">
      <c r="A38" t="s">
        <v>102</v>
      </c>
      <c r="B38" t="s">
        <v>323</v>
      </c>
      <c r="C38" t="s">
        <v>162</v>
      </c>
      <c r="D38" t="s">
        <v>134</v>
      </c>
      <c r="E38" t="s">
        <v>324</v>
      </c>
      <c r="F38" t="s">
        <v>325</v>
      </c>
      <c r="G38" t="s">
        <v>326</v>
      </c>
      <c r="H38" t="s">
        <v>327</v>
      </c>
    </row>
    <row r="39" spans="1:8" x14ac:dyDescent="0.2">
      <c r="A39" t="s">
        <v>107</v>
      </c>
      <c r="B39" t="s">
        <v>328</v>
      </c>
      <c r="C39" t="s">
        <v>329</v>
      </c>
      <c r="D39" t="s">
        <v>134</v>
      </c>
      <c r="E39" t="s">
        <v>330</v>
      </c>
      <c r="F39" t="s">
        <v>331</v>
      </c>
      <c r="G39" t="s">
        <v>332</v>
      </c>
      <c r="H39" t="s">
        <v>333</v>
      </c>
    </row>
    <row r="40" spans="1:8" x14ac:dyDescent="0.2">
      <c r="A40" t="s">
        <v>83</v>
      </c>
      <c r="B40" t="s">
        <v>334</v>
      </c>
      <c r="C40" t="s">
        <v>156</v>
      </c>
      <c r="D40" t="s">
        <v>185</v>
      </c>
      <c r="E40" t="s">
        <v>335</v>
      </c>
      <c r="F40" t="s">
        <v>336</v>
      </c>
      <c r="G40" t="s">
        <v>337</v>
      </c>
      <c r="H40" t="s">
        <v>338</v>
      </c>
    </row>
    <row r="41" spans="1:8" x14ac:dyDescent="0.2">
      <c r="A41" t="s">
        <v>100</v>
      </c>
      <c r="B41" t="s">
        <v>339</v>
      </c>
      <c r="C41" t="s">
        <v>340</v>
      </c>
      <c r="D41" t="s">
        <v>134</v>
      </c>
      <c r="E41" t="s">
        <v>341</v>
      </c>
      <c r="F41" t="s">
        <v>342</v>
      </c>
      <c r="G41" t="s">
        <v>343</v>
      </c>
      <c r="H41" t="s">
        <v>344</v>
      </c>
    </row>
    <row r="42" spans="1:8" x14ac:dyDescent="0.2">
      <c r="A42" t="s">
        <v>43</v>
      </c>
      <c r="B42" t="s">
        <v>351</v>
      </c>
      <c r="C42" t="s">
        <v>346</v>
      </c>
      <c r="D42" t="s">
        <v>191</v>
      </c>
      <c r="E42" t="s">
        <v>347</v>
      </c>
      <c r="F42" t="s">
        <v>348</v>
      </c>
      <c r="G42" t="s">
        <v>353</v>
      </c>
      <c r="H42" t="s">
        <v>354</v>
      </c>
    </row>
    <row r="43" spans="1:8" x14ac:dyDescent="0.2">
      <c r="A43" t="s">
        <v>87</v>
      </c>
      <c r="B43" t="s">
        <v>345</v>
      </c>
      <c r="C43" t="s">
        <v>127</v>
      </c>
      <c r="D43" t="s">
        <v>191</v>
      </c>
      <c r="E43" t="s">
        <v>347</v>
      </c>
      <c r="F43" t="s">
        <v>352</v>
      </c>
      <c r="G43" t="s">
        <v>349</v>
      </c>
      <c r="H43" t="s">
        <v>350</v>
      </c>
    </row>
    <row r="44" spans="1:8" x14ac:dyDescent="0.2">
      <c r="A44" t="s">
        <v>85</v>
      </c>
      <c r="B44" t="s">
        <v>355</v>
      </c>
      <c r="C44" t="s">
        <v>356</v>
      </c>
      <c r="D44" t="s">
        <v>261</v>
      </c>
      <c r="E44" t="s">
        <v>357</v>
      </c>
      <c r="F44" t="s">
        <v>358</v>
      </c>
      <c r="G44" t="s">
        <v>359</v>
      </c>
      <c r="H44" t="s">
        <v>360</v>
      </c>
    </row>
    <row r="45" spans="1:8" x14ac:dyDescent="0.2">
      <c r="A45" t="s">
        <v>27</v>
      </c>
      <c r="B45" t="s">
        <v>361</v>
      </c>
      <c r="C45" t="s">
        <v>362</v>
      </c>
      <c r="D45" t="s">
        <v>255</v>
      </c>
      <c r="E45" t="s">
        <v>363</v>
      </c>
      <c r="F45" t="s">
        <v>364</v>
      </c>
      <c r="G45" t="s">
        <v>365</v>
      </c>
      <c r="H45" t="s">
        <v>366</v>
      </c>
    </row>
    <row r="46" spans="1:8" x14ac:dyDescent="0.2">
      <c r="A46" t="s">
        <v>103</v>
      </c>
      <c r="B46" t="s">
        <v>367</v>
      </c>
      <c r="C46" t="s">
        <v>368</v>
      </c>
      <c r="D46" t="s">
        <v>134</v>
      </c>
      <c r="E46" t="s">
        <v>369</v>
      </c>
      <c r="F46" t="s">
        <v>370</v>
      </c>
      <c r="G46" t="s">
        <v>371</v>
      </c>
      <c r="H46" t="s">
        <v>372</v>
      </c>
    </row>
    <row r="47" spans="1:8" x14ac:dyDescent="0.2">
      <c r="A47" t="s">
        <v>118</v>
      </c>
      <c r="B47" t="s">
        <v>373</v>
      </c>
      <c r="C47" t="s">
        <v>374</v>
      </c>
      <c r="D47" t="s">
        <v>375</v>
      </c>
      <c r="E47" t="s">
        <v>376</v>
      </c>
      <c r="F47" t="s">
        <v>377</v>
      </c>
      <c r="G47" t="s">
        <v>378</v>
      </c>
      <c r="H47" t="s">
        <v>379</v>
      </c>
    </row>
    <row r="48" spans="1:8" x14ac:dyDescent="0.2">
      <c r="A48" t="s">
        <v>20</v>
      </c>
      <c r="B48" t="s">
        <v>380</v>
      </c>
      <c r="C48" t="s">
        <v>381</v>
      </c>
      <c r="D48" t="s">
        <v>191</v>
      </c>
      <c r="E48" t="s">
        <v>382</v>
      </c>
      <c r="F48" t="s">
        <v>383</v>
      </c>
      <c r="G48" t="s">
        <v>384</v>
      </c>
      <c r="H48" t="s">
        <v>385</v>
      </c>
    </row>
    <row r="49" spans="1:8" x14ac:dyDescent="0.2">
      <c r="A49" t="s">
        <v>82</v>
      </c>
      <c r="B49" t="s">
        <v>386</v>
      </c>
      <c r="C49" t="s">
        <v>387</v>
      </c>
      <c r="D49" t="s">
        <v>134</v>
      </c>
      <c r="E49" t="s">
        <v>388</v>
      </c>
      <c r="F49" t="s">
        <v>389</v>
      </c>
      <c r="G49" t="s">
        <v>390</v>
      </c>
      <c r="H49" t="s">
        <v>391</v>
      </c>
    </row>
    <row r="50" spans="1:8" x14ac:dyDescent="0.2">
      <c r="A50" t="s">
        <v>24</v>
      </c>
      <c r="B50" t="s">
        <v>392</v>
      </c>
      <c r="C50" t="s">
        <v>151</v>
      </c>
      <c r="D50" t="s">
        <v>128</v>
      </c>
      <c r="E50" t="s">
        <v>393</v>
      </c>
      <c r="F50" t="s">
        <v>394</v>
      </c>
      <c r="G50" t="s">
        <v>395</v>
      </c>
      <c r="H50" t="s">
        <v>396</v>
      </c>
    </row>
    <row r="51" spans="1:8" x14ac:dyDescent="0.2">
      <c r="A51" t="s">
        <v>59</v>
      </c>
      <c r="B51" t="s">
        <v>397</v>
      </c>
      <c r="C51" t="s">
        <v>267</v>
      </c>
      <c r="D51" t="s">
        <v>128</v>
      </c>
      <c r="E51" t="s">
        <v>398</v>
      </c>
      <c r="F51" t="s">
        <v>399</v>
      </c>
      <c r="G51" t="s">
        <v>400</v>
      </c>
      <c r="H51" t="s">
        <v>401</v>
      </c>
    </row>
    <row r="52" spans="1:8" x14ac:dyDescent="0.2">
      <c r="A52" t="s">
        <v>46</v>
      </c>
      <c r="B52" t="s">
        <v>674</v>
      </c>
      <c r="C52" t="s">
        <v>346</v>
      </c>
      <c r="D52" t="s">
        <v>191</v>
      </c>
      <c r="E52" t="s">
        <v>402</v>
      </c>
      <c r="F52" t="s">
        <v>403</v>
      </c>
      <c r="G52" t="s">
        <v>404</v>
      </c>
      <c r="H52" t="s">
        <v>405</v>
      </c>
    </row>
    <row r="53" spans="1:8" x14ac:dyDescent="0.2">
      <c r="A53" t="s">
        <v>79</v>
      </c>
      <c r="B53" t="s">
        <v>406</v>
      </c>
      <c r="C53" t="s">
        <v>254</v>
      </c>
      <c r="D53" t="s">
        <v>255</v>
      </c>
      <c r="E53" t="s">
        <v>407</v>
      </c>
      <c r="F53" t="s">
        <v>309</v>
      </c>
      <c r="G53" t="s">
        <v>408</v>
      </c>
      <c r="H53" t="s">
        <v>409</v>
      </c>
    </row>
    <row r="54" spans="1:8" x14ac:dyDescent="0.2">
      <c r="A54" t="s">
        <v>23</v>
      </c>
      <c r="B54" t="s">
        <v>410</v>
      </c>
      <c r="C54" t="s">
        <v>411</v>
      </c>
      <c r="D54" t="s">
        <v>191</v>
      </c>
      <c r="E54" t="s">
        <v>412</v>
      </c>
      <c r="F54" t="s">
        <v>383</v>
      </c>
      <c r="G54" t="s">
        <v>413</v>
      </c>
      <c r="H54" t="s">
        <v>414</v>
      </c>
    </row>
    <row r="55" spans="1:8" x14ac:dyDescent="0.2">
      <c r="A55" t="s">
        <v>33</v>
      </c>
      <c r="B55" t="s">
        <v>415</v>
      </c>
      <c r="C55" t="s">
        <v>416</v>
      </c>
      <c r="D55" t="s">
        <v>198</v>
      </c>
      <c r="E55" t="s">
        <v>417</v>
      </c>
      <c r="F55" t="s">
        <v>418</v>
      </c>
      <c r="G55" t="s">
        <v>419</v>
      </c>
      <c r="H55" t="s">
        <v>420</v>
      </c>
    </row>
    <row r="56" spans="1:8" x14ac:dyDescent="0.2">
      <c r="A56" t="s">
        <v>105</v>
      </c>
      <c r="B56" t="s">
        <v>421</v>
      </c>
      <c r="C56" t="s">
        <v>422</v>
      </c>
      <c r="D56" t="s">
        <v>261</v>
      </c>
      <c r="E56" t="s">
        <v>423</v>
      </c>
      <c r="F56" t="s">
        <v>424</v>
      </c>
      <c r="G56" t="s">
        <v>425</v>
      </c>
      <c r="H56" t="s">
        <v>426</v>
      </c>
    </row>
    <row r="57" spans="1:8" x14ac:dyDescent="0.2">
      <c r="A57" t="s">
        <v>106</v>
      </c>
      <c r="B57" t="s">
        <v>427</v>
      </c>
      <c r="C57" t="s">
        <v>428</v>
      </c>
      <c r="D57" t="s">
        <v>134</v>
      </c>
      <c r="E57" t="s">
        <v>429</v>
      </c>
      <c r="F57" t="s">
        <v>430</v>
      </c>
      <c r="G57" t="s">
        <v>431</v>
      </c>
      <c r="H57" t="s">
        <v>432</v>
      </c>
    </row>
    <row r="58" spans="1:8" x14ac:dyDescent="0.2">
      <c r="A58" t="s">
        <v>96</v>
      </c>
      <c r="B58" t="s">
        <v>669</v>
      </c>
      <c r="C58" t="s">
        <v>133</v>
      </c>
      <c r="D58" t="s">
        <v>134</v>
      </c>
      <c r="E58" t="s">
        <v>433</v>
      </c>
      <c r="F58" t="s">
        <v>434</v>
      </c>
      <c r="G58" t="s">
        <v>435</v>
      </c>
      <c r="H58" t="s">
        <v>436</v>
      </c>
    </row>
    <row r="59" spans="1:8" x14ac:dyDescent="0.2">
      <c r="A59" t="s">
        <v>13</v>
      </c>
      <c r="B59" t="s">
        <v>437</v>
      </c>
      <c r="C59" t="s">
        <v>145</v>
      </c>
      <c r="D59" t="s">
        <v>134</v>
      </c>
      <c r="E59" t="s">
        <v>438</v>
      </c>
      <c r="F59" t="s">
        <v>439</v>
      </c>
      <c r="G59" t="s">
        <v>440</v>
      </c>
      <c r="H59" t="s">
        <v>441</v>
      </c>
    </row>
    <row r="60" spans="1:8" x14ac:dyDescent="0.2">
      <c r="A60" t="s">
        <v>73</v>
      </c>
      <c r="B60" t="s">
        <v>442</v>
      </c>
      <c r="C60" t="s">
        <v>443</v>
      </c>
      <c r="D60" t="s">
        <v>293</v>
      </c>
      <c r="E60" t="s">
        <v>444</v>
      </c>
      <c r="F60" t="s">
        <v>445</v>
      </c>
      <c r="G60" t="s">
        <v>446</v>
      </c>
      <c r="H60" t="s">
        <v>447</v>
      </c>
    </row>
    <row r="61" spans="1:8" x14ac:dyDescent="0.2">
      <c r="A61" t="s">
        <v>64</v>
      </c>
      <c r="B61" t="s">
        <v>448</v>
      </c>
      <c r="C61" t="s">
        <v>204</v>
      </c>
      <c r="D61" t="s">
        <v>211</v>
      </c>
      <c r="E61" t="s">
        <v>449</v>
      </c>
      <c r="F61" t="s">
        <v>450</v>
      </c>
      <c r="G61" t="s">
        <v>451</v>
      </c>
      <c r="H61" t="s">
        <v>452</v>
      </c>
    </row>
    <row r="62" spans="1:8" x14ac:dyDescent="0.2">
      <c r="A62" t="s">
        <v>25</v>
      </c>
      <c r="B62" t="s">
        <v>453</v>
      </c>
      <c r="C62" t="s">
        <v>226</v>
      </c>
      <c r="D62" t="s">
        <v>128</v>
      </c>
      <c r="E62" t="s">
        <v>454</v>
      </c>
      <c r="F62" t="s">
        <v>455</v>
      </c>
      <c r="G62" t="s">
        <v>456</v>
      </c>
      <c r="H62" t="s">
        <v>457</v>
      </c>
    </row>
    <row r="63" spans="1:8" x14ac:dyDescent="0.2">
      <c r="A63" t="s">
        <v>114</v>
      </c>
      <c r="B63" t="s">
        <v>458</v>
      </c>
      <c r="C63" t="s">
        <v>459</v>
      </c>
      <c r="D63" t="s">
        <v>134</v>
      </c>
      <c r="E63" t="s">
        <v>460</v>
      </c>
      <c r="F63" t="s">
        <v>461</v>
      </c>
      <c r="G63" t="s">
        <v>462</v>
      </c>
      <c r="H63" t="s">
        <v>463</v>
      </c>
    </row>
    <row r="64" spans="1:8" x14ac:dyDescent="0.2">
      <c r="A64" t="s">
        <v>29</v>
      </c>
      <c r="B64" t="s">
        <v>464</v>
      </c>
      <c r="C64" t="s">
        <v>465</v>
      </c>
      <c r="D64" t="s">
        <v>191</v>
      </c>
      <c r="E64" t="s">
        <v>466</v>
      </c>
      <c r="F64" t="s">
        <v>467</v>
      </c>
      <c r="G64" t="s">
        <v>468</v>
      </c>
      <c r="H64" t="s">
        <v>469</v>
      </c>
    </row>
    <row r="65" spans="1:8" x14ac:dyDescent="0.2">
      <c r="A65" t="s">
        <v>35</v>
      </c>
      <c r="B65" t="s">
        <v>470</v>
      </c>
      <c r="C65" t="s">
        <v>471</v>
      </c>
      <c r="D65" t="s">
        <v>198</v>
      </c>
      <c r="E65" t="s">
        <v>472</v>
      </c>
      <c r="F65" t="s">
        <v>473</v>
      </c>
      <c r="G65" t="s">
        <v>474</v>
      </c>
      <c r="H65" t="s">
        <v>475</v>
      </c>
    </row>
    <row r="66" spans="1:8" x14ac:dyDescent="0.2">
      <c r="A66" t="s">
        <v>36</v>
      </c>
      <c r="B66" t="s">
        <v>476</v>
      </c>
      <c r="C66" t="s">
        <v>416</v>
      </c>
      <c r="D66" t="s">
        <v>198</v>
      </c>
      <c r="E66" t="s">
        <v>477</v>
      </c>
      <c r="F66" t="s">
        <v>478</v>
      </c>
      <c r="G66" t="s">
        <v>479</v>
      </c>
      <c r="H66" t="s">
        <v>480</v>
      </c>
    </row>
    <row r="67" spans="1:8" x14ac:dyDescent="0.2">
      <c r="A67" t="s">
        <v>12</v>
      </c>
      <c r="B67" t="s">
        <v>481</v>
      </c>
      <c r="C67" t="s">
        <v>482</v>
      </c>
      <c r="D67" t="s">
        <v>375</v>
      </c>
      <c r="E67" t="s">
        <v>483</v>
      </c>
      <c r="F67" t="s">
        <v>484</v>
      </c>
      <c r="G67" t="s">
        <v>485</v>
      </c>
      <c r="H67" t="s">
        <v>486</v>
      </c>
    </row>
    <row r="68" spans="1:8" x14ac:dyDescent="0.2">
      <c r="A68" t="s">
        <v>39</v>
      </c>
      <c r="B68" t="s">
        <v>668</v>
      </c>
      <c r="C68" t="s">
        <v>487</v>
      </c>
      <c r="D68" t="s">
        <v>261</v>
      </c>
      <c r="E68" t="s">
        <v>488</v>
      </c>
      <c r="F68" t="s">
        <v>489</v>
      </c>
      <c r="G68" t="s">
        <v>490</v>
      </c>
      <c r="H68" t="s">
        <v>491</v>
      </c>
    </row>
    <row r="69" spans="1:8" x14ac:dyDescent="0.2">
      <c r="A69" t="s">
        <v>68</v>
      </c>
      <c r="B69" t="s">
        <v>492</v>
      </c>
      <c r="C69" t="s">
        <v>493</v>
      </c>
      <c r="D69" t="s">
        <v>375</v>
      </c>
      <c r="E69" t="s">
        <v>494</v>
      </c>
      <c r="F69" t="s">
        <v>495</v>
      </c>
      <c r="G69" t="s">
        <v>496</v>
      </c>
      <c r="H69" t="s">
        <v>497</v>
      </c>
    </row>
    <row r="70" spans="1:8" x14ac:dyDescent="0.2">
      <c r="A70" t="s">
        <v>62</v>
      </c>
      <c r="B70" t="s">
        <v>498</v>
      </c>
      <c r="C70" t="s">
        <v>267</v>
      </c>
      <c r="D70" t="s">
        <v>128</v>
      </c>
      <c r="E70" t="s">
        <v>499</v>
      </c>
      <c r="F70" t="s">
        <v>500</v>
      </c>
      <c r="G70" t="s">
        <v>501</v>
      </c>
      <c r="H70" t="s">
        <v>502</v>
      </c>
    </row>
    <row r="71" spans="1:8" x14ac:dyDescent="0.2">
      <c r="A71" t="s">
        <v>116</v>
      </c>
      <c r="B71" t="s">
        <v>701</v>
      </c>
      <c r="C71" t="s">
        <v>665</v>
      </c>
      <c r="D71" t="s">
        <v>198</v>
      </c>
      <c r="E71" t="s">
        <v>503</v>
      </c>
      <c r="F71" t="s">
        <v>504</v>
      </c>
      <c r="G71" t="s">
        <v>505</v>
      </c>
      <c r="H71" t="s">
        <v>506</v>
      </c>
    </row>
    <row r="72" spans="1:8" x14ac:dyDescent="0.2">
      <c r="A72" t="s">
        <v>37</v>
      </c>
      <c r="B72" t="s">
        <v>507</v>
      </c>
      <c r="C72" t="s">
        <v>508</v>
      </c>
      <c r="D72" t="s">
        <v>191</v>
      </c>
      <c r="E72" t="s">
        <v>509</v>
      </c>
      <c r="F72" t="s">
        <v>510</v>
      </c>
      <c r="G72" t="s">
        <v>511</v>
      </c>
      <c r="H72" t="s">
        <v>512</v>
      </c>
    </row>
    <row r="73" spans="1:8" x14ac:dyDescent="0.2">
      <c r="A73" t="s">
        <v>41</v>
      </c>
      <c r="B73" t="s">
        <v>513</v>
      </c>
      <c r="C73" t="s">
        <v>514</v>
      </c>
      <c r="D73" t="s">
        <v>185</v>
      </c>
      <c r="E73" t="s">
        <v>515</v>
      </c>
      <c r="F73" t="s">
        <v>516</v>
      </c>
      <c r="G73" t="s">
        <v>517</v>
      </c>
      <c r="H73" t="s">
        <v>518</v>
      </c>
    </row>
    <row r="74" spans="1:8" x14ac:dyDescent="0.2">
      <c r="A74" t="s">
        <v>111</v>
      </c>
      <c r="B74" t="s">
        <v>657</v>
      </c>
      <c r="C74" t="s">
        <v>519</v>
      </c>
      <c r="D74" t="s">
        <v>134</v>
      </c>
      <c r="E74" t="s">
        <v>520</v>
      </c>
      <c r="F74" t="s">
        <v>521</v>
      </c>
      <c r="G74" t="s">
        <v>522</v>
      </c>
      <c r="H74" t="s">
        <v>523</v>
      </c>
    </row>
    <row r="75" spans="1:8" x14ac:dyDescent="0.2">
      <c r="A75" t="s">
        <v>45</v>
      </c>
      <c r="B75" t="s">
        <v>524</v>
      </c>
      <c r="C75" t="s">
        <v>658</v>
      </c>
      <c r="D75" t="s">
        <v>375</v>
      </c>
      <c r="E75" t="s">
        <v>525</v>
      </c>
      <c r="F75" t="s">
        <v>526</v>
      </c>
      <c r="G75" t="s">
        <v>527</v>
      </c>
      <c r="H75" t="s">
        <v>528</v>
      </c>
    </row>
    <row r="76" spans="1:8" x14ac:dyDescent="0.2">
      <c r="A76" t="s">
        <v>49</v>
      </c>
      <c r="B76" t="s">
        <v>529</v>
      </c>
      <c r="C76" t="s">
        <v>530</v>
      </c>
      <c r="D76" t="s">
        <v>191</v>
      </c>
      <c r="E76" t="s">
        <v>531</v>
      </c>
      <c r="F76" t="s">
        <v>532</v>
      </c>
      <c r="G76" t="s">
        <v>533</v>
      </c>
      <c r="H76" t="s">
        <v>534</v>
      </c>
    </row>
    <row r="77" spans="1:8" x14ac:dyDescent="0.2">
      <c r="A77" t="s">
        <v>65</v>
      </c>
      <c r="B77" t="s">
        <v>535</v>
      </c>
      <c r="C77" t="s">
        <v>267</v>
      </c>
      <c r="D77" t="s">
        <v>128</v>
      </c>
      <c r="E77" t="s">
        <v>536</v>
      </c>
      <c r="F77" t="s">
        <v>537</v>
      </c>
      <c r="G77" t="s">
        <v>538</v>
      </c>
      <c r="H77" t="s">
        <v>539</v>
      </c>
    </row>
    <row r="78" spans="1:8" x14ac:dyDescent="0.2">
      <c r="A78" t="s">
        <v>119</v>
      </c>
      <c r="B78" t="s">
        <v>540</v>
      </c>
      <c r="C78" t="s">
        <v>541</v>
      </c>
      <c r="D78" t="s">
        <v>134</v>
      </c>
      <c r="E78" t="s">
        <v>542</v>
      </c>
      <c r="F78" t="s">
        <v>543</v>
      </c>
      <c r="G78" t="s">
        <v>544</v>
      </c>
      <c r="H78" t="s">
        <v>545</v>
      </c>
    </row>
    <row r="79" spans="1:8" x14ac:dyDescent="0.2">
      <c r="A79" t="s">
        <v>47</v>
      </c>
      <c r="B79" t="s">
        <v>546</v>
      </c>
      <c r="C79" t="s">
        <v>239</v>
      </c>
      <c r="D79" t="s">
        <v>134</v>
      </c>
      <c r="E79" t="s">
        <v>547</v>
      </c>
      <c r="F79" t="s">
        <v>548</v>
      </c>
      <c r="G79" t="s">
        <v>549</v>
      </c>
      <c r="H79" t="s">
        <v>550</v>
      </c>
    </row>
    <row r="80" spans="1:8" x14ac:dyDescent="0.2">
      <c r="A80" t="s">
        <v>67</v>
      </c>
      <c r="B80" t="s">
        <v>704</v>
      </c>
      <c r="C80" t="s">
        <v>551</v>
      </c>
      <c r="D80" t="s">
        <v>134</v>
      </c>
      <c r="E80" t="s">
        <v>552</v>
      </c>
      <c r="F80" t="s">
        <v>553</v>
      </c>
      <c r="G80" t="s">
        <v>554</v>
      </c>
      <c r="H80" t="s">
        <v>555</v>
      </c>
    </row>
    <row r="81" spans="1:8" x14ac:dyDescent="0.2">
      <c r="A81" t="s">
        <v>117</v>
      </c>
      <c r="B81" t="s">
        <v>556</v>
      </c>
      <c r="C81" t="s">
        <v>459</v>
      </c>
      <c r="D81" t="s">
        <v>134</v>
      </c>
      <c r="E81" t="s">
        <v>552</v>
      </c>
      <c r="F81" t="s">
        <v>557</v>
      </c>
      <c r="G81" t="s">
        <v>558</v>
      </c>
      <c r="H81" t="s">
        <v>559</v>
      </c>
    </row>
    <row r="82" spans="1:8" x14ac:dyDescent="0.2">
      <c r="A82" t="s">
        <v>120</v>
      </c>
      <c r="B82" t="s">
        <v>560</v>
      </c>
      <c r="C82" t="s">
        <v>374</v>
      </c>
      <c r="D82" t="s">
        <v>375</v>
      </c>
      <c r="E82" t="s">
        <v>561</v>
      </c>
      <c r="F82" t="s">
        <v>562</v>
      </c>
      <c r="G82" t="s">
        <v>563</v>
      </c>
      <c r="H82" t="s">
        <v>564</v>
      </c>
    </row>
    <row r="83" spans="1:8" x14ac:dyDescent="0.2">
      <c r="A83" t="s">
        <v>48</v>
      </c>
      <c r="B83" t="s">
        <v>565</v>
      </c>
      <c r="C83" t="s">
        <v>566</v>
      </c>
      <c r="D83" t="s">
        <v>134</v>
      </c>
      <c r="E83" t="s">
        <v>567</v>
      </c>
      <c r="F83" t="s">
        <v>568</v>
      </c>
      <c r="G83" t="s">
        <v>569</v>
      </c>
      <c r="H83" t="s">
        <v>570</v>
      </c>
    </row>
    <row r="84" spans="1:8" x14ac:dyDescent="0.2">
      <c r="A84" t="s">
        <v>53</v>
      </c>
      <c r="B84" t="s">
        <v>571</v>
      </c>
      <c r="C84" t="s">
        <v>572</v>
      </c>
      <c r="D84" t="s">
        <v>375</v>
      </c>
      <c r="E84" t="s">
        <v>573</v>
      </c>
      <c r="F84" t="s">
        <v>574</v>
      </c>
      <c r="G84" t="s">
        <v>575</v>
      </c>
      <c r="H84" t="s">
        <v>576</v>
      </c>
    </row>
    <row r="85" spans="1:8" x14ac:dyDescent="0.2">
      <c r="A85" t="s">
        <v>28</v>
      </c>
      <c r="B85" t="s">
        <v>577</v>
      </c>
      <c r="C85" t="s">
        <v>578</v>
      </c>
      <c r="D85" t="s">
        <v>255</v>
      </c>
      <c r="E85" t="s">
        <v>579</v>
      </c>
      <c r="F85" t="s">
        <v>580</v>
      </c>
      <c r="G85" t="s">
        <v>581</v>
      </c>
      <c r="H85" t="s">
        <v>582</v>
      </c>
    </row>
    <row r="86" spans="1:8" x14ac:dyDescent="0.2">
      <c r="A86" t="s">
        <v>34</v>
      </c>
      <c r="B86" t="s">
        <v>583</v>
      </c>
      <c r="C86" t="s">
        <v>465</v>
      </c>
      <c r="D86" t="s">
        <v>191</v>
      </c>
      <c r="E86" t="s">
        <v>584</v>
      </c>
      <c r="F86" t="s">
        <v>585</v>
      </c>
      <c r="G86" t="s">
        <v>586</v>
      </c>
      <c r="H86" t="s">
        <v>587</v>
      </c>
    </row>
    <row r="87" spans="1:8" x14ac:dyDescent="0.2">
      <c r="A87" t="s">
        <v>63</v>
      </c>
      <c r="B87" t="s">
        <v>588</v>
      </c>
      <c r="C87" t="s">
        <v>313</v>
      </c>
      <c r="D87" t="s">
        <v>134</v>
      </c>
      <c r="E87" t="s">
        <v>589</v>
      </c>
      <c r="F87" t="s">
        <v>590</v>
      </c>
      <c r="G87" t="s">
        <v>591</v>
      </c>
      <c r="H87" t="s">
        <v>592</v>
      </c>
    </row>
    <row r="88" spans="1:8" x14ac:dyDescent="0.2">
      <c r="A88" t="s">
        <v>72</v>
      </c>
      <c r="B88" t="s">
        <v>666</v>
      </c>
      <c r="C88" t="s">
        <v>204</v>
      </c>
      <c r="D88" t="s">
        <v>211</v>
      </c>
      <c r="E88" t="s">
        <v>589</v>
      </c>
      <c r="F88" t="s">
        <v>593</v>
      </c>
      <c r="G88" t="s">
        <v>594</v>
      </c>
      <c r="H88" t="s">
        <v>595</v>
      </c>
    </row>
    <row r="89" spans="1:8" x14ac:dyDescent="0.2">
      <c r="A89" t="s">
        <v>94</v>
      </c>
      <c r="B89" t="s">
        <v>596</v>
      </c>
      <c r="C89" t="s">
        <v>597</v>
      </c>
      <c r="D89" t="s">
        <v>128</v>
      </c>
      <c r="E89" t="s">
        <v>598</v>
      </c>
      <c r="F89" t="s">
        <v>599</v>
      </c>
      <c r="G89" t="s">
        <v>600</v>
      </c>
      <c r="H89" t="s">
        <v>601</v>
      </c>
    </row>
    <row r="90" spans="1:8" x14ac:dyDescent="0.2">
      <c r="A90" t="s">
        <v>38</v>
      </c>
      <c r="B90" t="s">
        <v>602</v>
      </c>
      <c r="C90" t="s">
        <v>471</v>
      </c>
      <c r="D90" t="s">
        <v>198</v>
      </c>
      <c r="E90" t="s">
        <v>603</v>
      </c>
      <c r="F90" t="s">
        <v>309</v>
      </c>
      <c r="G90" t="s">
        <v>604</v>
      </c>
      <c r="H90" t="s">
        <v>605</v>
      </c>
    </row>
    <row r="91" spans="1:8" x14ac:dyDescent="0.2">
      <c r="A91" t="s">
        <v>97</v>
      </c>
      <c r="B91" t="s">
        <v>606</v>
      </c>
      <c r="C91" t="s">
        <v>597</v>
      </c>
      <c r="D91" t="s">
        <v>128</v>
      </c>
      <c r="E91" t="s">
        <v>607</v>
      </c>
      <c r="F91" t="s">
        <v>608</v>
      </c>
      <c r="G91" t="s">
        <v>609</v>
      </c>
      <c r="H91" t="s">
        <v>610</v>
      </c>
    </row>
    <row r="92" spans="1:8" x14ac:dyDescent="0.2">
      <c r="A92" t="s">
        <v>54</v>
      </c>
      <c r="B92" t="s">
        <v>660</v>
      </c>
      <c r="C92" t="s">
        <v>530</v>
      </c>
      <c r="D92" t="s">
        <v>191</v>
      </c>
      <c r="E92" t="s">
        <v>611</v>
      </c>
      <c r="F92" t="s">
        <v>612</v>
      </c>
      <c r="G92" t="s">
        <v>613</v>
      </c>
      <c r="H92" t="s">
        <v>614</v>
      </c>
    </row>
    <row r="93" spans="1:8" x14ac:dyDescent="0.2">
      <c r="A93" t="s">
        <v>40</v>
      </c>
      <c r="B93" t="s">
        <v>615</v>
      </c>
      <c r="C93" t="s">
        <v>508</v>
      </c>
      <c r="D93" t="s">
        <v>191</v>
      </c>
      <c r="E93" t="s">
        <v>616</v>
      </c>
      <c r="F93" t="s">
        <v>430</v>
      </c>
      <c r="G93" t="s">
        <v>617</v>
      </c>
      <c r="H93" t="s">
        <v>618</v>
      </c>
    </row>
    <row r="94" spans="1:8" x14ac:dyDescent="0.2">
      <c r="A94" t="s">
        <v>26</v>
      </c>
      <c r="B94" t="s">
        <v>619</v>
      </c>
      <c r="C94" t="s">
        <v>411</v>
      </c>
      <c r="D94" t="s">
        <v>191</v>
      </c>
      <c r="E94" t="s">
        <v>620</v>
      </c>
      <c r="F94" t="s">
        <v>621</v>
      </c>
      <c r="G94" t="s">
        <v>622</v>
      </c>
      <c r="H94" t="s">
        <v>623</v>
      </c>
    </row>
    <row r="95" spans="1:8" x14ac:dyDescent="0.2">
      <c r="A95" t="s">
        <v>86</v>
      </c>
      <c r="B95" t="s">
        <v>671</v>
      </c>
      <c r="C95" t="s">
        <v>156</v>
      </c>
      <c r="D95" t="s">
        <v>134</v>
      </c>
      <c r="E95" t="s">
        <v>624</v>
      </c>
      <c r="F95" t="s">
        <v>585</v>
      </c>
      <c r="G95" t="s">
        <v>625</v>
      </c>
      <c r="H95" t="s">
        <v>626</v>
      </c>
    </row>
    <row r="96" spans="1:8" x14ac:dyDescent="0.2">
      <c r="A96" t="s">
        <v>57</v>
      </c>
      <c r="B96" t="s">
        <v>659</v>
      </c>
      <c r="C96" t="s">
        <v>530</v>
      </c>
      <c r="D96" t="s">
        <v>191</v>
      </c>
      <c r="E96" t="s">
        <v>627</v>
      </c>
      <c r="F96" t="s">
        <v>467</v>
      </c>
      <c r="G96" t="s">
        <v>628</v>
      </c>
      <c r="H96" t="s">
        <v>629</v>
      </c>
    </row>
    <row r="97" spans="1:8" x14ac:dyDescent="0.2">
      <c r="A97" t="s">
        <v>104</v>
      </c>
      <c r="B97" t="s">
        <v>630</v>
      </c>
      <c r="C97" t="s">
        <v>631</v>
      </c>
      <c r="D97" t="s">
        <v>198</v>
      </c>
      <c r="E97" t="s">
        <v>632</v>
      </c>
      <c r="F97" t="s">
        <v>633</v>
      </c>
      <c r="G97" t="s">
        <v>634</v>
      </c>
      <c r="H97" t="s">
        <v>635</v>
      </c>
    </row>
    <row r="98" spans="1:8" x14ac:dyDescent="0.2">
      <c r="A98" t="s">
        <v>75</v>
      </c>
      <c r="B98" t="s">
        <v>672</v>
      </c>
      <c r="C98" t="s">
        <v>204</v>
      </c>
      <c r="D98" t="s">
        <v>211</v>
      </c>
      <c r="E98" t="s">
        <v>636</v>
      </c>
      <c r="F98" t="s">
        <v>637</v>
      </c>
      <c r="G98" t="s">
        <v>638</v>
      </c>
      <c r="H98" t="s">
        <v>639</v>
      </c>
    </row>
    <row r="99" spans="1:8" x14ac:dyDescent="0.2">
      <c r="A99" t="s">
        <v>109</v>
      </c>
      <c r="B99" t="s">
        <v>640</v>
      </c>
      <c r="C99" t="s">
        <v>641</v>
      </c>
      <c r="D99" t="s">
        <v>375</v>
      </c>
      <c r="E99" t="s">
        <v>642</v>
      </c>
      <c r="F99" t="s">
        <v>643</v>
      </c>
      <c r="G99" t="s">
        <v>644</v>
      </c>
      <c r="H99" t="s">
        <v>645</v>
      </c>
    </row>
    <row r="100" spans="1:8" x14ac:dyDescent="0.2">
      <c r="A100" t="s">
        <v>15</v>
      </c>
      <c r="B100" t="s">
        <v>646</v>
      </c>
      <c r="C100" t="s">
        <v>647</v>
      </c>
      <c r="D100" t="s">
        <v>211</v>
      </c>
      <c r="E100" t="s">
        <v>648</v>
      </c>
      <c r="F100" t="s">
        <v>649</v>
      </c>
      <c r="G100" t="s">
        <v>650</v>
      </c>
      <c r="H100" t="s">
        <v>651</v>
      </c>
    </row>
    <row r="101" spans="1:8" x14ac:dyDescent="0.2">
      <c r="A101" t="s">
        <v>89</v>
      </c>
      <c r="B101" t="s">
        <v>652</v>
      </c>
      <c r="C101" t="s">
        <v>156</v>
      </c>
      <c r="D101" t="s">
        <v>128</v>
      </c>
      <c r="E101" t="s">
        <v>653</v>
      </c>
      <c r="F101" t="s">
        <v>654</v>
      </c>
      <c r="G101" t="s">
        <v>655</v>
      </c>
      <c r="H101" t="s">
        <v>656</v>
      </c>
    </row>
  </sheetData>
  <autoFilter ref="A1:H101" xr:uid="{00000000-0009-0000-0000-000000000000}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"/>
  <sheetViews>
    <sheetView showGridLines="0" workbookViewId="0">
      <selection activeCell="G22" sqref="G22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15" customWidth="1"/>
    <col min="4" max="4" width="42" customWidth="1"/>
    <col min="5" max="6" width="22" customWidth="1"/>
    <col min="7" max="7" width="15" customWidth="1"/>
    <col min="8" max="8" width="42" customWidth="1"/>
    <col min="9" max="10" width="22" customWidth="1"/>
    <col min="11" max="11" width="15" customWidth="1"/>
    <col min="12" max="12" width="42" customWidth="1"/>
    <col min="13" max="13" width="22" customWidth="1"/>
  </cols>
  <sheetData>
    <row r="1" spans="1:13" ht="21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2">
      <c r="A2" s="13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5" spans="1:13" ht="17" customHeight="1" x14ac:dyDescent="0.2">
      <c r="A5" s="14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2">
      <c r="A6" s="11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2">
      <c r="A7" s="2" t="s">
        <v>4</v>
      </c>
      <c r="B7" s="10" t="s">
        <v>5</v>
      </c>
      <c r="C7" s="9"/>
      <c r="D7" s="9"/>
      <c r="E7" s="9"/>
      <c r="F7" s="10" t="s">
        <v>6</v>
      </c>
      <c r="G7" s="9"/>
      <c r="H7" s="9"/>
      <c r="I7" s="9"/>
      <c r="J7" s="10" t="s">
        <v>7</v>
      </c>
      <c r="K7" s="9"/>
      <c r="L7" s="9"/>
      <c r="M7" s="9"/>
    </row>
    <row r="8" spans="1:13" x14ac:dyDescent="0.2">
      <c r="B8" s="3" t="s">
        <v>8</v>
      </c>
      <c r="C8" s="3" t="s">
        <v>9</v>
      </c>
      <c r="D8" s="3" t="s">
        <v>10</v>
      </c>
      <c r="E8" s="3" t="s">
        <v>11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8</v>
      </c>
      <c r="K8" s="3" t="s">
        <v>9</v>
      </c>
      <c r="L8" s="3" t="s">
        <v>10</v>
      </c>
      <c r="M8" s="3" t="s">
        <v>11</v>
      </c>
    </row>
    <row r="9" spans="1:13" ht="39" x14ac:dyDescent="0.2">
      <c r="A9" s="4" t="s">
        <v>676</v>
      </c>
      <c r="B9" s="5" t="s">
        <v>12</v>
      </c>
      <c r="C9" s="6" t="str">
        <f>IFERROR(VLOOKUP($B9,Data!$A:$D,4,FALSE),"")</f>
        <v>Neuroscience &amp; Psychology</v>
      </c>
      <c r="D9" s="6" t="str">
        <f>IFERROR(VLOOKUP($B9,Data!$A:$D,2,FALSE),"")</f>
        <v>Visualizing Neuropsychological Profiles in Patients with Alzheimer's Disease</v>
      </c>
      <c r="E9" s="6" t="str">
        <f>IFERROR(VLOOKUP($B9,Data!$A:$D,3,FALSE),"")</f>
        <v>Dr. Daniel Press and Dr. Hsueh-Sheng Chiang</v>
      </c>
      <c r="F9" s="5" t="s">
        <v>13</v>
      </c>
      <c r="G9" s="6" t="str">
        <f>IFERROR(VLOOKUP($F9,Data!$A:$D,4,FALSE),"")</f>
        <v>Biology &amp; Medicine</v>
      </c>
      <c r="H9" s="6" t="str">
        <f>IFERROR(VLOOKUP($F9,Data!$A:$D,2,FALSE),"")</f>
        <v>Worming Our Way Out: Analyzing How Developmental Exposure to UNC-31 Degradation and TIR1 affect brain dynamics of C. elegans</v>
      </c>
      <c r="I9" s="6" t="str">
        <f>IFERROR(VLOOKUP($F9,Data!$A:$D,3,FALSE),"")</f>
        <v>Prof. Vivek Venkatachalam</v>
      </c>
      <c r="J9" s="5" t="s">
        <v>14</v>
      </c>
      <c r="K9" s="6" t="str">
        <f>IFERROR(VLOOKUP($J9,Data!$A:$D,4,FALSE),"")</f>
        <v>Math</v>
      </c>
      <c r="L9" s="6" t="str">
        <f>IFERROR(VLOOKUP($J9,Data!$A:$D,2,FALSE),"")</f>
        <v>Counting Prime Solutions to Quadratic Forms</v>
      </c>
      <c r="M9" s="6" t="str">
        <f>IFERROR(VLOOKUP($J9,Data!$A:$D,3,FALSE),"")</f>
        <v>Siqi Wu</v>
      </c>
    </row>
    <row r="10" spans="1:13" ht="26" x14ac:dyDescent="0.2">
      <c r="A10" s="4" t="s">
        <v>677</v>
      </c>
      <c r="B10" s="5" t="s">
        <v>15</v>
      </c>
      <c r="C10" s="6" t="str">
        <f>IFERROR(VLOOKUP($B10,Data!$A:$D,4,FALSE),"")</f>
        <v>Earth, Ocean &amp; Climate</v>
      </c>
      <c r="D10" s="6" t="str">
        <f>IFERROR(VLOOKUP($B10,Data!$A:$D,2,FALSE),"")</f>
        <v>Understanding the Role of Radiative Feedbacks and Forcings in the Land-Sea Warming Contrast</v>
      </c>
      <c r="E10" s="6" t="str">
        <f>IFERROR(VLOOKUP($B10,Data!$A:$D,3,FALSE),"")</f>
        <v>Prof. Paul O'Gorman</v>
      </c>
      <c r="F10" s="5" t="s">
        <v>16</v>
      </c>
      <c r="G10" s="6" t="str">
        <f>IFERROR(VLOOKUP($F10,Data!$A:$D,4,FALSE),"")</f>
        <v>Biology &amp; Medicine</v>
      </c>
      <c r="H10" s="6" t="str">
        <f>IFERROR(VLOOKUP($F10,Data!$A:$D,2,FALSE),"")</f>
        <v>Critical Windows for Neuromodulatory Recovery: Reversible UNC-31 Depletion in Caenorhabditis elegans Development</v>
      </c>
      <c r="I10" s="6" t="str">
        <f>IFERROR(VLOOKUP($F10,Data!$A:$D,3,FALSE),"")</f>
        <v>Prof. Vivek Venkatachalam</v>
      </c>
      <c r="J10" s="5" t="s">
        <v>17</v>
      </c>
      <c r="K10" s="6" t="str">
        <f>IFERROR(VLOOKUP($J10,Data!$A:$D,4,FALSE),"")</f>
        <v>Math</v>
      </c>
      <c r="L10" s="6" t="str">
        <f>IFERROR(VLOOKUP($J10,Data!$A:$D,2,FALSE),"")</f>
        <v>Sphere Packing on Grassmannians</v>
      </c>
      <c r="M10" s="6" t="str">
        <f>IFERROR(VLOOKUP($J10,Data!$A:$D,3,FALSE),"")</f>
        <v>Siqi Wu</v>
      </c>
    </row>
    <row r="11" spans="1:13" ht="26" x14ac:dyDescent="0.2">
      <c r="A11" s="4" t="s">
        <v>678</v>
      </c>
      <c r="B11" s="5" t="s">
        <v>18</v>
      </c>
      <c r="C11" s="6" t="str">
        <f>IFERROR(VLOOKUP($B11,Data!$A:$D,4,FALSE),"")</f>
        <v>Computer Science &amp; AI</v>
      </c>
      <c r="D11" s="6" t="str">
        <f>IFERROR(VLOOKUP($B11,Data!$A:$D,2,FALSE),"")</f>
        <v>Liquid Foundation Models as Medical Assistants</v>
      </c>
      <c r="E11" s="6" t="str">
        <f>IFERROR(VLOOKUP($B11,Data!$A:$D,3,FALSE),"")</f>
        <v>Dr. Bo Wu</v>
      </c>
      <c r="F11" s="5" t="s">
        <v>19</v>
      </c>
      <c r="G11" s="6" t="str">
        <f>IFERROR(VLOOKUP($F11,Data!$A:$D,4,FALSE),"")</f>
        <v>Computer Science &amp; AI</v>
      </c>
      <c r="H11" s="6" t="str">
        <f>IFERROR(VLOOKUP($F11,Data!$A:$D,2,FALSE),"")</f>
        <v>Building a Machine Learning Model to Resolve C. elegans Collisions</v>
      </c>
      <c r="I11" s="6" t="str">
        <f>IFERROR(VLOOKUP($F11,Data!$A:$D,3,FALSE),"")</f>
        <v>Prof. Vivek Venkatachalam</v>
      </c>
      <c r="J11" s="5" t="s">
        <v>34</v>
      </c>
      <c r="K11" s="6" t="str">
        <f>IFERROR(VLOOKUP($J11,Data!$A:$D,4,FALSE),"")</f>
        <v>Math</v>
      </c>
      <c r="L11" s="6" t="str">
        <f>IFERROR(VLOOKUP($J11,Data!$A:$D,2,FALSE),"")</f>
        <v>Critical Groups of Signed Subdivided Wheels</v>
      </c>
      <c r="M11" s="6" t="str">
        <f>IFERROR(VLOOKUP($J11,Data!$A:$D,3,FALSE),"")</f>
        <v>Ryota Inagaki</v>
      </c>
    </row>
    <row r="12" spans="1:13" ht="26" x14ac:dyDescent="0.2">
      <c r="A12" s="4" t="s">
        <v>679</v>
      </c>
      <c r="B12" s="5" t="s">
        <v>21</v>
      </c>
      <c r="C12" s="6" t="str">
        <f>IFERROR(VLOOKUP($B12,Data!$A:$D,4,FALSE),"")</f>
        <v>Computer Science &amp; AI</v>
      </c>
      <c r="D12" s="6" t="str">
        <f>IFERROR(VLOOKUP($B12,Data!$A:$D,2,FALSE),"")</f>
        <v>Two-Stage Outcome-Based Reinforcement Learning for a Compact Medical Vision-Language Model</v>
      </c>
      <c r="E12" s="6" t="str">
        <f>IFERROR(VLOOKUP($B12,Data!$A:$D,3,FALSE),"")</f>
        <v>Dr. Bo Wu</v>
      </c>
      <c r="F12" s="5" t="s">
        <v>22</v>
      </c>
      <c r="G12" s="6" t="str">
        <f>IFERROR(VLOOKUP($F12,Data!$A:$D,4,FALSE),"")</f>
        <v>Computer Science &amp; AI</v>
      </c>
      <c r="H12" s="6" t="str">
        <f>IFERROR(VLOOKUP($F12,Data!$A:$D,2,FALSE),"")</f>
        <v>The Center Configuration Problem for Single-Robot Reconfiguration</v>
      </c>
      <c r="I12" s="6" t="str">
        <f>IFERROR(VLOOKUP($F12,Data!$A:$D,3,FALSE),"")</f>
        <v>Timothy Gomez</v>
      </c>
      <c r="J12" s="7" t="s">
        <v>29</v>
      </c>
      <c r="K12" s="6" t="str">
        <f>IFERROR(VLOOKUP($J12,Data!$A:$D,4,FALSE),"")</f>
        <v>Math</v>
      </c>
      <c r="L12" s="6" t="str">
        <f>IFERROR(VLOOKUP($J12,Data!$A:$D,2,FALSE),"")</f>
        <v>Resolving a Conjecture on Stack-Sorting</v>
      </c>
      <c r="M12" s="6" t="str">
        <f>IFERROR(VLOOKUP($J12,Data!$A:$D,3,FALSE),"")</f>
        <v>Ryota Inagaki</v>
      </c>
    </row>
    <row r="13" spans="1:13" ht="26" x14ac:dyDescent="0.2">
      <c r="A13" s="4" t="s">
        <v>687</v>
      </c>
      <c r="B13" s="5" t="s">
        <v>24</v>
      </c>
      <c r="C13" s="6" t="str">
        <f>IFERROR(VLOOKUP($B13,Data!$A:$D,4,FALSE),"")</f>
        <v>Computer Science &amp; AI</v>
      </c>
      <c r="D13" s="6" t="str">
        <f>IFERROR(VLOOKUP($B13,Data!$A:$D,2,FALSE),"")</f>
        <v>Crown–Root Segmentation in Dental CBCT Using Anatomically Guided Synthetic Annotation</v>
      </c>
      <c r="E13" s="6" t="str">
        <f>IFERROR(VLOOKUP($B13,Data!$A:$D,3,FALSE),"")</f>
        <v>Dr. Bo Wu</v>
      </c>
      <c r="F13" s="5" t="s">
        <v>25</v>
      </c>
      <c r="G13" s="6" t="str">
        <f>IFERROR(VLOOKUP($F13,Data!$A:$D,4,FALSE),"")</f>
        <v>Computer Science &amp; AI</v>
      </c>
      <c r="H13" s="6" t="str">
        <f>IFERROR(VLOOKUP($F13,Data!$A:$D,2,FALSE),"")</f>
        <v>Before the Final Assembly: Temporal Leakage and Process Privacy in Covert Tile Automata</v>
      </c>
      <c r="I13" s="6" t="str">
        <f>IFERROR(VLOOKUP($F13,Data!$A:$D,3,FALSE),"")</f>
        <v>Timothy Gomez</v>
      </c>
      <c r="J13" s="5" t="s">
        <v>26</v>
      </c>
      <c r="K13" s="6" t="str">
        <f>IFERROR(VLOOKUP($J13,Data!$A:$D,4,FALSE),"")</f>
        <v>Math</v>
      </c>
      <c r="L13" s="6" t="str">
        <f>IFERROR(VLOOKUP($J13,Data!$A:$D,2,FALSE),"")</f>
        <v>Asymptotics for Curve Shortening Flow with Boundary</v>
      </c>
      <c r="M13" s="6" t="str">
        <f>IFERROR(VLOOKUP($J13,Data!$A:$D,3,FALSE),"")</f>
        <v>Alexander McWeeney</v>
      </c>
    </row>
    <row r="14" spans="1:13" ht="26" x14ac:dyDescent="0.2">
      <c r="A14" s="4" t="s">
        <v>688</v>
      </c>
      <c r="B14" s="5" t="s">
        <v>27</v>
      </c>
      <c r="C14" s="6" t="str">
        <f>IFERROR(VLOOKUP($B14,Data!$A:$D,4,FALSE),"")</f>
        <v>Astronomy &amp; Planetary Science</v>
      </c>
      <c r="D14" s="6" t="str">
        <f>IFERROR(VLOOKUP($B14,Data!$A:$D,2,FALSE),"")</f>
        <v>Detecting Life in the Clouds: The Feasibility of Using UV Phase Delay Sensing on Venus</v>
      </c>
      <c r="E14" s="6" t="str">
        <f>IFERROR(VLOOKUP($B14,Data!$A:$D,3,FALSE),"")</f>
        <v>Prof. Sara Seager</v>
      </c>
      <c r="F14" s="5" t="s">
        <v>28</v>
      </c>
      <c r="G14" s="6" t="str">
        <f>IFERROR(VLOOKUP($F14,Data!$A:$D,4,FALSE),"")</f>
        <v>Astronomy &amp; Planetary Science</v>
      </c>
      <c r="H14" s="6" t="str">
        <f>IFERROR(VLOOKUP($F14,Data!$A:$D,2,FALSE),"")</f>
        <v>Constraints on Cosmic Reionization and the Thomson Optical Depth via the Population III.1 Flash Model</v>
      </c>
      <c r="I14" s="6" t="str">
        <f>IFERROR(VLOOKUP($F14,Data!$A:$D,3,FALSE),"")</f>
        <v>Dr. James Sullivan</v>
      </c>
      <c r="J14" s="5" t="s">
        <v>23</v>
      </c>
      <c r="K14" s="6" t="str">
        <f>IFERROR(VLOOKUP($J14,Data!$A:$D,4,FALSE),"")</f>
        <v>Math</v>
      </c>
      <c r="L14" s="6" t="str">
        <f>IFERROR(VLOOKUP($J14,Data!$A:$D,2,FALSE),"")</f>
        <v>Heat Evolution on Graphs</v>
      </c>
      <c r="M14" s="6" t="str">
        <f>IFERROR(VLOOKUP($J14,Data!$A:$D,3,FALSE),"")</f>
        <v>Alexander McWeeney</v>
      </c>
    </row>
    <row r="15" spans="1:13" x14ac:dyDescent="0.2">
      <c r="A15" s="12" t="s">
        <v>30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x14ac:dyDescent="0.2">
      <c r="A16" s="11" t="s">
        <v>31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2">
      <c r="A17" s="2" t="s">
        <v>4</v>
      </c>
      <c r="B17" s="10" t="s">
        <v>5</v>
      </c>
      <c r="C17" s="9"/>
      <c r="D17" s="9"/>
      <c r="E17" s="9"/>
      <c r="F17" s="10" t="s">
        <v>6</v>
      </c>
      <c r="G17" s="9"/>
      <c r="H17" s="9"/>
      <c r="I17" s="9"/>
      <c r="J17" s="10" t="s">
        <v>7</v>
      </c>
      <c r="K17" s="9"/>
      <c r="L17" s="9"/>
      <c r="M17" s="9"/>
    </row>
    <row r="18" spans="1:13" x14ac:dyDescent="0.2">
      <c r="B18" s="3" t="s">
        <v>8</v>
      </c>
      <c r="C18" s="3" t="s">
        <v>9</v>
      </c>
      <c r="D18" s="3" t="s">
        <v>10</v>
      </c>
      <c r="E18" s="3" t="s">
        <v>11</v>
      </c>
      <c r="F18" s="3" t="s">
        <v>8</v>
      </c>
      <c r="G18" s="3" t="s">
        <v>9</v>
      </c>
      <c r="H18" s="3" t="s">
        <v>10</v>
      </c>
      <c r="I18" s="3" t="s">
        <v>11</v>
      </c>
      <c r="J18" s="3" t="s">
        <v>8</v>
      </c>
      <c r="K18" s="3" t="s">
        <v>9</v>
      </c>
      <c r="L18" s="3" t="s">
        <v>10</v>
      </c>
      <c r="M18" s="3" t="s">
        <v>11</v>
      </c>
    </row>
    <row r="19" spans="1:13" ht="26" x14ac:dyDescent="0.2">
      <c r="A19" s="4" t="s">
        <v>680</v>
      </c>
      <c r="B19" s="5" t="s">
        <v>32</v>
      </c>
      <c r="C19" s="6" t="str">
        <f>IFERROR(VLOOKUP($B19,Data!$A:$D,4,FALSE),"")</f>
        <v>Astronomy &amp; Planetary Science</v>
      </c>
      <c r="D19" s="6" t="str">
        <f>IFERROR(VLOOKUP($B19,Data!$A:$D,2,FALSE),"")</f>
        <v>Searching for Eclipses in X-Ray Sources</v>
      </c>
      <c r="E19" s="6" t="str">
        <f>IFERROR(VLOOKUP($B19,Data!$A:$D,3,FALSE),"")</f>
        <v>Dr. Rosanne Di Stefano</v>
      </c>
      <c r="F19" s="5" t="s">
        <v>33</v>
      </c>
      <c r="G19" s="6" t="str">
        <f>IFERROR(VLOOKUP($F19,Data!$A:$D,4,FALSE),"")</f>
        <v>Physics</v>
      </c>
      <c r="H19" s="6" t="str">
        <f>IFERROR(VLOOKUP($F19,Data!$A:$D,2,FALSE),"")</f>
        <v>Hybrid controls strategy for Automatic Laser Beam Alignment</v>
      </c>
      <c r="I19" s="6" t="str">
        <f>IFERROR(VLOOKUP($F19,Data!$A:$D,3,FALSE),"")</f>
        <v>Prof. Vladan Vuletic</v>
      </c>
      <c r="J19" s="5" t="s">
        <v>20</v>
      </c>
      <c r="K19" s="6" t="str">
        <f>IFERROR(VLOOKUP($J19,Data!$A:$D,4,FALSE),"")</f>
        <v>Math</v>
      </c>
      <c r="L19" s="6" t="str">
        <f>IFERROR(VLOOKUP($J19,Data!$A:$D,2,FALSE),"")</f>
        <v>Temporal Preferential Attachment Trees</v>
      </c>
      <c r="M19" s="6" t="str">
        <f>IFERROR(VLOOKUP($J19,Data!$A:$D,3,FALSE),"")</f>
        <v>Hang Du</v>
      </c>
    </row>
    <row r="20" spans="1:13" x14ac:dyDescent="0.2">
      <c r="A20" s="4" t="s">
        <v>681</v>
      </c>
      <c r="B20" s="5" t="s">
        <v>35</v>
      </c>
      <c r="C20" s="6" t="str">
        <f>IFERROR(VLOOKUP($B20,Data!$A:$D,4,FALSE),"")</f>
        <v>Physics</v>
      </c>
      <c r="D20" s="6" t="str">
        <f>IFERROR(VLOOKUP($B20,Data!$A:$D,2,FALSE),"")</f>
        <v>Information Flow in Self Organizing Systems</v>
      </c>
      <c r="E20" s="6" t="str">
        <f>IFERROR(VLOOKUP($B20,Data!$A:$D,3,FALSE),"")</f>
        <v>Ashu Tripathi</v>
      </c>
      <c r="F20" s="5" t="s">
        <v>36</v>
      </c>
      <c r="G20" s="6" t="str">
        <f>IFERROR(VLOOKUP($F20,Data!$A:$D,4,FALSE),"")</f>
        <v>Physics</v>
      </c>
      <c r="H20" s="6" t="str">
        <f>IFERROR(VLOOKUP($F20,Data!$A:$D,2,FALSE),"")</f>
        <v>Optical pulse shaping for quantum-enhanced clocks</v>
      </c>
      <c r="I20" s="6" t="str">
        <f>IFERROR(VLOOKUP($F20,Data!$A:$D,3,FALSE),"")</f>
        <v>Prof. Vladan Vuletic</v>
      </c>
      <c r="J20" s="5" t="s">
        <v>37</v>
      </c>
      <c r="K20" s="6" t="str">
        <f>IFERROR(VLOOKUP($J20,Data!$A:$D,4,FALSE),"")</f>
        <v>Math</v>
      </c>
      <c r="L20" s="6" t="str">
        <f>IFERROR(VLOOKUP($J20,Data!$A:$D,2,FALSE),"")</f>
        <v>On Supersingular Isogeny Graphs of Drinfeld Modules</v>
      </c>
      <c r="M20" s="6" t="str">
        <f>IFERROR(VLOOKUP($J20,Data!$A:$D,3,FALSE),"")</f>
        <v>Ayan Nath</v>
      </c>
    </row>
    <row r="21" spans="1:13" ht="26" x14ac:dyDescent="0.2">
      <c r="A21" s="4" t="s">
        <v>682</v>
      </c>
      <c r="B21" s="5" t="s">
        <v>38</v>
      </c>
      <c r="C21" s="6" t="str">
        <f>IFERROR(VLOOKUP($B21,Data!$A:$D,4,FALSE),"")</f>
        <v>Physics</v>
      </c>
      <c r="D21" s="6" t="str">
        <f>IFERROR(VLOOKUP($B21,Data!$A:$D,2,FALSE),"")</f>
        <v>Life is a Game: Learning Dynamical Systems with Neural Cellular Automata</v>
      </c>
      <c r="E21" s="6" t="str">
        <f>IFERROR(VLOOKUP($B21,Data!$A:$D,3,FALSE),"")</f>
        <v>Ashu Tripathi</v>
      </c>
      <c r="F21" s="5" t="s">
        <v>39</v>
      </c>
      <c r="G21" s="6" t="str">
        <f>IFERROR(VLOOKUP($F21,Data!$A:$D,4,FALSE),"")</f>
        <v>Engineering</v>
      </c>
      <c r="H21" s="6" t="str">
        <f>IFERROR(VLOOKUP($F21,Data!$A:$D,2,FALSE),"")</f>
        <v>Patient-Specific Modeling of Cerebrospinal Fluid Flow in Chiari I Malformation</v>
      </c>
      <c r="I21" s="6" t="str">
        <f>IFERROR(VLOOKUP($F21,Data!$A:$D,3,FALSE),"")</f>
        <v>Prof. Francis Loth and Hannah Higgins</v>
      </c>
      <c r="J21" s="5" t="s">
        <v>40</v>
      </c>
      <c r="K21" s="6" t="str">
        <f>IFERROR(VLOOKUP($J21,Data!$A:$D,4,FALSE),"")</f>
        <v>Math</v>
      </c>
      <c r="L21" s="6" t="str">
        <f>IFERROR(VLOOKUP($J21,Data!$A:$D,2,FALSE),"")</f>
        <v>Open Cases of the Colmez Conjecture</v>
      </c>
      <c r="M21" s="6" t="str">
        <f>IFERROR(VLOOKUP($J21,Data!$A:$D,3,FALSE),"")</f>
        <v>Ayan Nath</v>
      </c>
    </row>
    <row r="22" spans="1:13" ht="26" x14ac:dyDescent="0.2">
      <c r="A22" s="4" t="s">
        <v>683</v>
      </c>
      <c r="B22" s="5" t="s">
        <v>41</v>
      </c>
      <c r="C22" s="6" t="str">
        <f>IFERROR(VLOOKUP($B22,Data!$A:$D,4,FALSE),"")</f>
        <v>Chemistry &amp; Materials</v>
      </c>
      <c r="D22" s="6" t="str">
        <f>IFERROR(VLOOKUP($B22,Data!$A:$D,2,FALSE),"")</f>
        <v>The computational conversion of a singular apo structure to an ensemble of holo structures for more accurate molecular docking</v>
      </c>
      <c r="E22" s="6" t="str">
        <f>IFERROR(VLOOKUP($B22,Data!$A:$D,3,FALSE),"")</f>
        <v>Dr. Mrinal Shekhar</v>
      </c>
      <c r="F22" s="5" t="s">
        <v>42</v>
      </c>
      <c r="G22" s="6" t="str">
        <f>IFERROR(VLOOKUP($F22,Data!$A:$D,4,FALSE),"")</f>
        <v>Biology &amp; Medicine</v>
      </c>
      <c r="H22" s="6" t="str">
        <f>IFERROR(VLOOKUP($F22,Data!$A:$D,2,FALSE),"")</f>
        <v>Temporal Mapping of Doxorubicin-Induced Alterations in Autophagic Flux in hiPSC-Derived Cardiomyocytes</v>
      </c>
      <c r="I22" s="6" t="str">
        <f>IFERROR(VLOOKUP($F22,Data!$A:$D,3,FALSE),"")</f>
        <v>Dr. Howard Chen</v>
      </c>
      <c r="J22" s="5" t="s">
        <v>43</v>
      </c>
      <c r="K22" s="6" t="str">
        <f>IFERROR(VLOOKUP($J22,Data!$A:$D,4,FALSE),"")</f>
        <v>Math</v>
      </c>
      <c r="L22" s="6" t="str">
        <f>IFERROR(VLOOKUP($J22,Data!$A:$D,2,FALSE),"")</f>
        <v>Effective Computation of Free Resolutions and Cohomology for Quotients of Braid Groups</v>
      </c>
      <c r="M22" s="6" t="str">
        <f>IFERROR(VLOOKUP($J22,Data!$A:$D,3,FALSE),"")</f>
        <v>Dr. Sean Carroll</v>
      </c>
    </row>
    <row r="23" spans="1:13" ht="26" x14ac:dyDescent="0.2">
      <c r="A23" s="4" t="s">
        <v>685</v>
      </c>
      <c r="B23" s="5" t="s">
        <v>44</v>
      </c>
      <c r="C23" s="6" t="str">
        <f>IFERROR(VLOOKUP($B23,Data!$A:$D,4,FALSE),"")</f>
        <v>Biology &amp; Medicine</v>
      </c>
      <c r="D23" s="6" t="str">
        <f>IFERROR(VLOOKUP($B23,Data!$A:$D,2,FALSE),"")</f>
        <v>Effect of ZAP70 Mutations on CAR T-Cell Effectiveness Targeting GD2 in Cancer Cells</v>
      </c>
      <c r="E23" s="6" t="str">
        <f>IFERROR(VLOOKUP($B23,Data!$A:$D,3,FALSE),"")</f>
        <v>Dr. Robbie G. Majzner</v>
      </c>
      <c r="F23" s="5" t="s">
        <v>45</v>
      </c>
      <c r="G23" s="6" t="str">
        <f>IFERROR(VLOOKUP($F23,Data!$A:$D,4,FALSE),"")</f>
        <v>Neuroscience &amp; Psychology</v>
      </c>
      <c r="H23" s="6" t="str">
        <f>IFERROR(VLOOKUP($F23,Data!$A:$D,2,FALSE),"")</f>
        <v>Functional Neural Connectivity During Inactivation of the Anterior Insula in Fentanyl-Administered Rats</v>
      </c>
      <c r="I23" s="6" t="str">
        <f>IFERROR(VLOOKUP($F23,Data!$A:$D,3,FALSE),"")</f>
        <v>Dr. Sarah Bricault</v>
      </c>
      <c r="J23" s="5" t="s">
        <v>46</v>
      </c>
      <c r="K23" s="6" t="str">
        <f>IFERROR(VLOOKUP($J23,Data!$A:$D,4,FALSE),"")</f>
        <v>Math</v>
      </c>
      <c r="L23" s="6" t="str">
        <f>IFERROR(VLOOKUP($J23,Data!$A:$D,2,FALSE),"")</f>
        <v>Resolutions for Quotients of One-Relator Groups</v>
      </c>
      <c r="M23" s="6" t="str">
        <f>IFERROR(VLOOKUP($J23,Data!$A:$D,3,FALSE),"")</f>
        <v>Dr. Sean Carroll</v>
      </c>
    </row>
    <row r="24" spans="1:13" ht="26" x14ac:dyDescent="0.2">
      <c r="A24" s="4" t="s">
        <v>686</v>
      </c>
      <c r="B24" s="5" t="s">
        <v>47</v>
      </c>
      <c r="C24" s="6" t="str">
        <f>IFERROR(VLOOKUP($B24,Data!$A:$D,4,FALSE),"")</f>
        <v>Biology &amp; Medicine</v>
      </c>
      <c r="D24" s="6" t="str">
        <f>IFERROR(VLOOKUP($B24,Data!$A:$D,2,FALSE),"")</f>
        <v>Identifying Alternative Stimulatory Receptors for TCR-independent Activation of T-cells</v>
      </c>
      <c r="E24" s="6" t="str">
        <f>IFERROR(VLOOKUP($B24,Data!$A:$D,3,FALSE),"")</f>
        <v>Dr. Robbie G. Majzner</v>
      </c>
      <c r="F24" s="5" t="s">
        <v>48</v>
      </c>
      <c r="G24" s="6" t="str">
        <f>IFERROR(VLOOKUP($F24,Data!$A:$D,4,FALSE),"")</f>
        <v>Biology &amp; Medicine</v>
      </c>
      <c r="H24" s="6" t="str">
        <f>IFERROR(VLOOKUP($F24,Data!$A:$D,2,FALSE),"")</f>
        <v>Characterization of Nanobody Binding to HIV-1 Capsid-Like Particles via Biolayer Interferometry</v>
      </c>
      <c r="I24" s="6" t="str">
        <f>IFERROR(VLOOKUP($F24,Data!$A:$D,3,FALSE),"")</f>
        <v>Dr. Ky Lowenhaupt</v>
      </c>
      <c r="J24" s="5" t="s">
        <v>49</v>
      </c>
      <c r="K24" s="6" t="str">
        <f>IFERROR(VLOOKUP($J24,Data!$A:$D,4,FALSE),"")</f>
        <v>Math</v>
      </c>
      <c r="L24" s="6" t="str">
        <f>IFERROR(VLOOKUP($J24,Data!$A:$D,2,FALSE),"")</f>
        <v>Simplified Volume Formulas for Tetrahedron by Edge-length Symmetry Class</v>
      </c>
      <c r="M24" s="6" t="str">
        <f>IFERROR(VLOOKUP($J24,Data!$A:$D,3,FALSE),"")</f>
        <v>Prof. Eric Grinberg</v>
      </c>
    </row>
    <row r="25" spans="1:13" x14ac:dyDescent="0.2">
      <c r="A25" s="12" t="s">
        <v>50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">
      <c r="A26" s="11" t="s">
        <v>51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2">
      <c r="A27" s="2" t="s">
        <v>4</v>
      </c>
      <c r="B27" s="10" t="s">
        <v>5</v>
      </c>
      <c r="C27" s="9"/>
      <c r="D27" s="9"/>
      <c r="E27" s="9"/>
      <c r="F27" s="10" t="s">
        <v>6</v>
      </c>
      <c r="G27" s="9"/>
      <c r="H27" s="9"/>
      <c r="I27" s="9"/>
      <c r="J27" s="10" t="s">
        <v>7</v>
      </c>
      <c r="K27" s="9"/>
      <c r="L27" s="9"/>
      <c r="M27" s="9"/>
    </row>
    <row r="28" spans="1:13" x14ac:dyDescent="0.2">
      <c r="B28" s="3" t="s">
        <v>8</v>
      </c>
      <c r="C28" s="3" t="s">
        <v>9</v>
      </c>
      <c r="D28" s="3" t="s">
        <v>10</v>
      </c>
      <c r="E28" s="3" t="s">
        <v>11</v>
      </c>
      <c r="F28" s="3" t="s">
        <v>8</v>
      </c>
      <c r="G28" s="3" t="s">
        <v>9</v>
      </c>
      <c r="H28" s="3" t="s">
        <v>10</v>
      </c>
      <c r="I28" s="3" t="s">
        <v>11</v>
      </c>
      <c r="J28" s="3" t="s">
        <v>8</v>
      </c>
      <c r="K28" s="3" t="s">
        <v>9</v>
      </c>
      <c r="L28" s="3" t="s">
        <v>10</v>
      </c>
      <c r="M28" s="3" t="s">
        <v>11</v>
      </c>
    </row>
    <row r="29" spans="1:13" ht="26" x14ac:dyDescent="0.2">
      <c r="A29" s="4" t="s">
        <v>689</v>
      </c>
      <c r="B29" s="5" t="s">
        <v>52</v>
      </c>
      <c r="C29" s="6" t="str">
        <f>IFERROR(VLOOKUP($B29,Data!$A:$D,4,FALSE),"")</f>
        <v>Earth, Ocean &amp; Climate</v>
      </c>
      <c r="D29" s="6" t="str">
        <f>IFERROR(VLOOKUP($B29,Data!$A:$D,2,FALSE),"")</f>
        <v>Navier–Stokes Characteristic Boundary Conditions for Limited-Area Numerical Weather Prediction</v>
      </c>
      <c r="E29" s="6" t="str">
        <f>IFERROR(VLOOKUP($B29,Data!$A:$D,3,FALSE),"")</f>
        <v>Prof. Pierre F.J Lermusiaux</v>
      </c>
      <c r="F29" s="5" t="s">
        <v>53</v>
      </c>
      <c r="G29" s="6" t="str">
        <f>IFERROR(VLOOKUP($F29,Data!$A:$D,4,FALSE),"")</f>
        <v>Neuroscience &amp; Psychology</v>
      </c>
      <c r="H29" s="6" t="str">
        <f>IFERROR(VLOOKUP($F29,Data!$A:$D,2,FALSE),"")</f>
        <v>Examining the Relationship Between Executive Function and Behavioural Outcomes in Children</v>
      </c>
      <c r="I29" s="6" t="str">
        <f>IFERROR(VLOOKUP($F29,Data!$A:$D,3,FALSE),"")</f>
        <v>Prof. John D. E. Gabrieli</v>
      </c>
      <c r="J29" s="5" t="s">
        <v>54</v>
      </c>
      <c r="K29" s="6" t="str">
        <f>IFERROR(VLOOKUP($J29,Data!$A:$D,4,FALSE),"")</f>
        <v>Math</v>
      </c>
      <c r="L29" s="6" t="str">
        <f>IFERROR(VLOOKUP($J29,Data!$A:$D,2,FALSE),"")</f>
        <v>Enumerating Nilpotent Matrices over Finite Fields</v>
      </c>
      <c r="M29" s="6" t="str">
        <f>IFERROR(VLOOKUP($J29,Data!$A:$D,3,FALSE),"")</f>
        <v>Prof. Eric Grinberg</v>
      </c>
    </row>
    <row r="30" spans="1:13" ht="26" x14ac:dyDescent="0.2">
      <c r="A30" s="4" t="s">
        <v>690</v>
      </c>
      <c r="B30" s="5" t="s">
        <v>55</v>
      </c>
      <c r="C30" s="6" t="str">
        <f>IFERROR(VLOOKUP($B30,Data!$A:$D,4,FALSE),"")</f>
        <v>Earth, Ocean &amp; Climate</v>
      </c>
      <c r="D30" s="6" t="str">
        <f>IFERROR(VLOOKUP($B30,Data!$A:$D,2,FALSE),"")</f>
        <v>Optimizing Quasi Geostrophic Flow Solving An Embedded Neural Network</v>
      </c>
      <c r="E30" s="6" t="str">
        <f>IFERROR(VLOOKUP($B30,Data!$A:$D,3,FALSE),"")</f>
        <v>Prof. Pierre F.J Lermusiaux</v>
      </c>
      <c r="F30" s="5" t="s">
        <v>56</v>
      </c>
      <c r="G30" s="6" t="str">
        <f>IFERROR(VLOOKUP($F30,Data!$A:$D,4,FALSE),"")</f>
        <v>Computer Science &amp; AI</v>
      </c>
      <c r="H30" s="6" t="str">
        <f>IFERROR(VLOOKUP($F30,Data!$A:$D,2,FALSE),"")</f>
        <v>The Feedback Horizon: When Physical Foreknowledge Becomes Decisive in Robotic Manipulation</v>
      </c>
      <c r="I30" s="6" t="str">
        <f>IFERROR(VLOOKUP($F30,Data!$A:$D,3,FALSE),"")</f>
        <v>Prof. Chuchu Fan</v>
      </c>
      <c r="J30" s="5" t="s">
        <v>57</v>
      </c>
      <c r="K30" s="6" t="str">
        <f>IFERROR(VLOOKUP($J30,Data!$A:$D,4,FALSE),"")</f>
        <v>Math</v>
      </c>
      <c r="L30" s="6" t="str">
        <f>IFERROR(VLOOKUP($J30,Data!$A:$D,2,FALSE),"")</f>
        <v>A Taxicab Journey to Triangle Centres</v>
      </c>
      <c r="M30" s="6" t="str">
        <f>IFERROR(VLOOKUP($J30,Data!$A:$D,3,FALSE),"")</f>
        <v>Prof. Eric Grinberg</v>
      </c>
    </row>
    <row r="31" spans="1:13" ht="26" x14ac:dyDescent="0.2">
      <c r="A31" s="4" t="s">
        <v>691</v>
      </c>
      <c r="B31" s="5" t="s">
        <v>58</v>
      </c>
      <c r="C31" s="6" t="str">
        <f>IFERROR(VLOOKUP($B31,Data!$A:$D,4,FALSE),"")</f>
        <v>Earth, Ocean &amp; Climate</v>
      </c>
      <c r="D31" s="6" t="str">
        <f>IFERROR(VLOOKUP($B31,Data!$A:$D,2,FALSE),"")</f>
        <v>Parametric Study of Regime Transition in Quasi-Geostrophic Turbulence</v>
      </c>
      <c r="E31" s="6" t="str">
        <f>IFERROR(VLOOKUP($B31,Data!$A:$D,3,FALSE),"")</f>
        <v>Prof. Pierre F.J Lermusiaux</v>
      </c>
      <c r="F31" s="5" t="s">
        <v>59</v>
      </c>
      <c r="G31" s="6" t="str">
        <f>IFERROR(VLOOKUP($F31,Data!$A:$D,4,FALSE),"")</f>
        <v>Computer Science &amp; AI</v>
      </c>
      <c r="H31" s="6" t="str">
        <f>IFERROR(VLOOKUP($F31,Data!$A:$D,2,FALSE),"")</f>
        <v>Learning Reciprocity: Value-Based Intrinsic Rewards for Cooperation in Sequential Social Dilemmas</v>
      </c>
      <c r="I31" s="6" t="str">
        <f>IFERROR(VLOOKUP($F31,Data!$A:$D,3,FALSE),"")</f>
        <v>Prof. Chuchu Fan</v>
      </c>
      <c r="J31" s="5" t="s">
        <v>60</v>
      </c>
      <c r="K31" s="6" t="str">
        <f>IFERROR(VLOOKUP($J31,Data!$A:$D,4,FALSE),"")</f>
        <v>Biology &amp; Medicine</v>
      </c>
      <c r="L31" s="6" t="str">
        <f>IFERROR(VLOOKUP($J31,Data!$A:$D,2,FALSE),"")</f>
        <v>APOE e4-Associated Microglial Transcriptional Signature Across Neurodegenerative Diseases</v>
      </c>
      <c r="M31" s="6" t="str">
        <f>IFERROR(VLOOKUP($J31,Data!$A:$D,3,FALSE),"")</f>
        <v>Dr. Sudeshna Das</v>
      </c>
    </row>
    <row r="32" spans="1:13" ht="26" x14ac:dyDescent="0.2">
      <c r="A32" s="4" t="s">
        <v>692</v>
      </c>
      <c r="B32" s="5" t="s">
        <v>61</v>
      </c>
      <c r="C32" s="6" t="str">
        <f>IFERROR(VLOOKUP($B32,Data!$A:$D,4,FALSE),"")</f>
        <v>Earth, Ocean &amp; Climate</v>
      </c>
      <c r="D32" s="6" t="str">
        <f>IFERROR(VLOOKUP($B32,Data!$A:$D,2,FALSE),"")</f>
        <v>Efficient Patching for Generative Super Resolution of Turbulent Flow Fields</v>
      </c>
      <c r="E32" s="6" t="str">
        <f>IFERROR(VLOOKUP($B32,Data!$A:$D,3,FALSE),"")</f>
        <v>Prof. Pierre F.J Lermusiaux</v>
      </c>
      <c r="F32" s="5" t="s">
        <v>62</v>
      </c>
      <c r="G32" s="6" t="str">
        <f>IFERROR(VLOOKUP($F32,Data!$A:$D,4,FALSE),"")</f>
        <v>Computer Science &amp; AI</v>
      </c>
      <c r="H32" s="6" t="str">
        <f>IFERROR(VLOOKUP($F32,Data!$A:$D,2,FALSE),"")</f>
        <v>A Teleoperation System as a Data Engine for Learning System Dynamics</v>
      </c>
      <c r="I32" s="6" t="str">
        <f>IFERROR(VLOOKUP($F32,Data!$A:$D,3,FALSE),"")</f>
        <v>Prof. Chuchu Fan</v>
      </c>
      <c r="J32" s="5" t="s">
        <v>63</v>
      </c>
      <c r="K32" s="6" t="str">
        <f>IFERROR(VLOOKUP($J32,Data!$A:$D,4,FALSE),"")</f>
        <v>Biology &amp; Medicine</v>
      </c>
      <c r="L32" s="6" t="str">
        <f>IFERROR(VLOOKUP($J32,Data!$A:$D,2,FALSE),"")</f>
        <v>Predicted glycolytic reprogramming in a microglial substate across neurodegenerative diseases.</v>
      </c>
      <c r="M32" s="6" t="str">
        <f>IFERROR(VLOOKUP($J32,Data!$A:$D,3,FALSE),"")</f>
        <v>Dr. Sudeshna Das</v>
      </c>
    </row>
    <row r="33" spans="1:13" ht="26" x14ac:dyDescent="0.2">
      <c r="A33" s="4" t="s">
        <v>693</v>
      </c>
      <c r="B33" s="5" t="s">
        <v>64</v>
      </c>
      <c r="C33" s="6" t="str">
        <f>IFERROR(VLOOKUP($B33,Data!$A:$D,4,FALSE),"")</f>
        <v>Earth, Ocean &amp; Climate</v>
      </c>
      <c r="D33" s="6" t="str">
        <f>IFERROR(VLOOKUP($B33,Data!$A:$D,2,FALSE),"")</f>
        <v>GPU-Accelerated Numerical Modeling of Idealized Ocean Circulation</v>
      </c>
      <c r="E33" s="6" t="str">
        <f>IFERROR(VLOOKUP($B33,Data!$A:$D,3,FALSE),"")</f>
        <v>Prof. Pierre F.J Lermusiaux</v>
      </c>
      <c r="F33" s="5" t="s">
        <v>65</v>
      </c>
      <c r="G33" s="6" t="str">
        <f>IFERROR(VLOOKUP($F33,Data!$A:$D,4,FALSE),"")</f>
        <v>Computer Science &amp; AI</v>
      </c>
      <c r="H33" s="6" t="str">
        <f>IFERROR(VLOOKUP($F33,Data!$A:$D,2,FALSE),"")</f>
        <v>Neural CBF-based Safe RL for Robot Locomotion</v>
      </c>
      <c r="I33" s="6" t="str">
        <f>IFERROR(VLOOKUP($F33,Data!$A:$D,3,FALSE),"")</f>
        <v>Prof. Chuchu Fan</v>
      </c>
      <c r="J33" s="5" t="s">
        <v>66</v>
      </c>
      <c r="K33" s="6" t="str">
        <f>IFERROR(VLOOKUP($J33,Data!$A:$D,4,FALSE),"")</f>
        <v>Computer Science &amp; AI</v>
      </c>
      <c r="L33" s="6" t="str">
        <f>IFERROR(VLOOKUP($J33,Data!$A:$D,2,FALSE),"")</f>
        <v>Sinkhorn Schrödinger Bridges for Graph Interpolations</v>
      </c>
      <c r="M33" s="6" t="str">
        <f>IFERROR(VLOOKUP($J33,Data!$A:$D,3,FALSE),"")</f>
        <v>Prof. Justin Solomon</v>
      </c>
    </row>
    <row r="34" spans="1:13" ht="26" x14ac:dyDescent="0.2">
      <c r="A34" s="4" t="s">
        <v>694</v>
      </c>
      <c r="B34" s="5" t="s">
        <v>75</v>
      </c>
      <c r="C34" s="6" t="str">
        <f>IFERROR(VLOOKUP($B34,Data!$A:$D,4,FALSE),"")</f>
        <v>Earth, Ocean &amp; Climate</v>
      </c>
      <c r="D34" s="6" t="str">
        <f>IFERROR(VLOOKUP($B34,Data!$A:$D,2,FALSE),"")</f>
        <v>Quantifying the Information Availability of Spatial Observations for Ocean Flow Field Reconstruction with Diffusion Posterior Sampling</v>
      </c>
      <c r="E34" s="6" t="str">
        <f>IFERROR(VLOOKUP($B34,Data!$A:$D,3,FALSE),"")</f>
        <v>Prof. Pierre F.J Lermusiaux</v>
      </c>
      <c r="F34" s="5" t="s">
        <v>68</v>
      </c>
      <c r="G34" s="6" t="str">
        <f>IFERROR(VLOOKUP($F34,Data!$A:$D,4,FALSE),"")</f>
        <v>Neuroscience &amp; Psychology</v>
      </c>
      <c r="H34" s="6" t="str">
        <f>IFERROR(VLOOKUP($F34,Data!$A:$D,2,FALSE),"")</f>
        <v>Neighborhood Disadvantage, White Matter Development, and Child Outcomes: Evidence from the ABCD Study</v>
      </c>
      <c r="I34" s="6" t="str">
        <f>IFERROR(VLOOKUP($F34,Data!$A:$D,3,FALSE),"")</f>
        <v>Dr. Yogesh Rathi, Dr. Sinead Marie Kelly, Dr. Lipeng Ning</v>
      </c>
      <c r="J34" s="5" t="s">
        <v>69</v>
      </c>
      <c r="K34" s="6" t="str">
        <f>IFERROR(VLOOKUP($J34,Data!$A:$D,4,FALSE),"")</f>
        <v>Engineering</v>
      </c>
      <c r="L34" s="6" t="str">
        <f>IFERROR(VLOOKUP($J34,Data!$A:$D,2,FALSE),"")</f>
        <v>Low-Reynolds-Number Porous Bleed for Separation Control on Hypersonic Airplanes</v>
      </c>
      <c r="M34" s="6" t="str">
        <f>IFERROR(VLOOKUP($J34,Data!$A:$D,3,FALSE),"")</f>
        <v>Prof. Wesley L. Harris</v>
      </c>
    </row>
    <row r="35" spans="1:13" x14ac:dyDescent="0.2">
      <c r="A35" s="12" t="s">
        <v>70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2">
      <c r="A36" s="11" t="s">
        <v>71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x14ac:dyDescent="0.2">
      <c r="A37" s="2" t="s">
        <v>4</v>
      </c>
      <c r="B37" s="10" t="s">
        <v>5</v>
      </c>
      <c r="C37" s="9"/>
      <c r="D37" s="9"/>
      <c r="E37" s="9"/>
      <c r="F37" s="10" t="s">
        <v>6</v>
      </c>
      <c r="G37" s="9"/>
      <c r="H37" s="9"/>
      <c r="I37" s="9"/>
      <c r="J37" s="10" t="s">
        <v>7</v>
      </c>
      <c r="K37" s="9"/>
      <c r="L37" s="9"/>
      <c r="M37" s="9"/>
    </row>
    <row r="38" spans="1:13" x14ac:dyDescent="0.2">
      <c r="B38" s="3" t="s">
        <v>8</v>
      </c>
      <c r="C38" s="3" t="s">
        <v>9</v>
      </c>
      <c r="D38" s="3" t="s">
        <v>10</v>
      </c>
      <c r="E38" s="3" t="s">
        <v>11</v>
      </c>
      <c r="F38" s="3" t="s">
        <v>8</v>
      </c>
      <c r="G38" s="3" t="s">
        <v>9</v>
      </c>
      <c r="H38" s="3" t="s">
        <v>10</v>
      </c>
      <c r="I38" s="3" t="s">
        <v>11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3" ht="26" x14ac:dyDescent="0.2">
      <c r="A39" s="4" t="s">
        <v>695</v>
      </c>
      <c r="B39" s="5" t="s">
        <v>72</v>
      </c>
      <c r="C39" s="6" t="str">
        <f>IFERROR(VLOOKUP($B39,Data!$A:$D,4,FALSE),"")</f>
        <v>Earth, Ocean &amp; Climate</v>
      </c>
      <c r="D39" s="6" t="str">
        <f>IFERROR(VLOOKUP($B39,Data!$A:$D,2,FALSE),"")</f>
        <v>Reachability-Based Path Planning Across Autonomous Ocean Vehicle Platforms</v>
      </c>
      <c r="E39" s="6" t="str">
        <f>IFERROR(VLOOKUP($B39,Data!$A:$D,3,FALSE),"")</f>
        <v>Prof. Pierre F.J Lermusiaux</v>
      </c>
      <c r="F39" s="5" t="s">
        <v>73</v>
      </c>
      <c r="G39" s="6" t="str">
        <f>IFERROR(VLOOKUP($F39,Data!$A:$D,4,FALSE),"")</f>
        <v>Economics &amp; Policy</v>
      </c>
      <c r="H39" s="6" t="str">
        <f>IFERROR(VLOOKUP($F39,Data!$A:$D,2,FALSE),"")</f>
        <v>Evaluating the FDA’s 510(k) Pathway for Approving AI/ML Medical Devices</v>
      </c>
      <c r="I39" s="6" t="str">
        <f>IFERROR(VLOOKUP($F39,Data!$A:$D,3,FALSE),"")</f>
        <v>Prof. Timothy Miller</v>
      </c>
      <c r="J39" s="5" t="s">
        <v>74</v>
      </c>
      <c r="K39" s="6" t="str">
        <f>IFERROR(VLOOKUP($J39,Data!$A:$D,4,FALSE),"")</f>
        <v>Biology &amp; Medicine</v>
      </c>
      <c r="L39" s="6" t="str">
        <f>IFERROR(VLOOKUP($J39,Data!$A:$D,2,FALSE),"")</f>
        <v>Using Cell-Projected Phenotypes to study HIV induced cognitive decline</v>
      </c>
      <c r="M39" s="6" t="str">
        <f>IFERROR(VLOOKUP($J39,Data!$A:$D,3,FALSE),"")</f>
        <v>Prof. Manolis Kellis</v>
      </c>
    </row>
    <row r="40" spans="1:13" ht="26" x14ac:dyDescent="0.2">
      <c r="A40" s="4" t="s">
        <v>696</v>
      </c>
      <c r="B40" s="5" t="s">
        <v>67</v>
      </c>
      <c r="C40" s="6" t="str">
        <f>IFERROR(VLOOKUP($B40,Data!$A:$D,4,FALSE),"")</f>
        <v>Biology &amp; Medicine</v>
      </c>
      <c r="D40" s="6" t="str">
        <f>IFERROR(VLOOKUP($B40,Data!$A:$D,2,FALSE),"")</f>
        <v>Computational and Mathematical Modeling of Cellular Dynamics in Hydrogels to Optimize Large-Scale Bioprinting</v>
      </c>
      <c r="E40" s="6" t="str">
        <f>IFERROR(VLOOKUP($B40,Data!$A:$D,3,FALSE),"")</f>
        <v>Prof. Ron Weiss</v>
      </c>
      <c r="F40" s="5" t="s">
        <v>76</v>
      </c>
      <c r="G40" s="6" t="str">
        <f>IFERROR(VLOOKUP($F40,Data!$A:$D,4,FALSE),"")</f>
        <v>Astronomy &amp; Planetary Science</v>
      </c>
      <c r="H40" s="6" t="str">
        <f>IFERROR(VLOOKUP($F40,Data!$A:$D,2,FALSE),"")</f>
        <v>Recovering Long-Transit Planet Signals in TESS Light Curves with Improved KeplerSpline Detrending</v>
      </c>
      <c r="I40" s="6" t="str">
        <f>IFERROR(VLOOKUP($F40,Data!$A:$D,3,FALSE),"")</f>
        <v>Katharine Hesse</v>
      </c>
      <c r="J40" s="5" t="s">
        <v>77</v>
      </c>
      <c r="K40" s="6" t="str">
        <f>IFERROR(VLOOKUP($J40,Data!$A:$D,4,FALSE),"")</f>
        <v>Biology &amp; Medicine</v>
      </c>
      <c r="L40" s="6" t="str">
        <f>IFERROR(VLOOKUP($J40,Data!$A:$D,2,FALSE),"")</f>
        <v>Dissecting the effects of non-coding genetic variation on neuropsychiatric disorder susceptibility</v>
      </c>
      <c r="M40" s="6" t="str">
        <f>IFERROR(VLOOKUP($J40,Data!$A:$D,3,FALSE),"")</f>
        <v>Prof. Manolis Kellis</v>
      </c>
    </row>
    <row r="41" spans="1:13" ht="39" x14ac:dyDescent="0.2">
      <c r="A41" s="4" t="s">
        <v>697</v>
      </c>
      <c r="B41" s="5" t="s">
        <v>78</v>
      </c>
      <c r="C41" s="6" t="str">
        <f>IFERROR(VLOOKUP($B41,Data!$A:$D,4,FALSE),"")</f>
        <v>Physics</v>
      </c>
      <c r="D41" s="6" t="str">
        <f>IFERROR(VLOOKUP($B41,Data!$A:$D,2,FALSE),"")</f>
        <v>Gyromagnetic Ratio and Protactinium Isotope-Shift Mapping for Electric Dipole Moment Searches</v>
      </c>
      <c r="E41" s="6" t="str">
        <f>IFERROR(VLOOKUP($B41,Data!$A:$D,3,FALSE),"")</f>
        <v>Dr. Prajwal T. Mohan Murthy</v>
      </c>
      <c r="F41" s="5" t="s">
        <v>79</v>
      </c>
      <c r="G41" s="6" t="str">
        <f>IFERROR(VLOOKUP($F41,Data!$A:$D,4,FALSE),"")</f>
        <v>Astronomy &amp; Planetary Science</v>
      </c>
      <c r="H41" s="6" t="str">
        <f>IFERROR(VLOOKUP($F41,Data!$A:$D,2,FALSE),"")</f>
        <v>Neptunian Ridge around faint stars</v>
      </c>
      <c r="I41" s="6" t="str">
        <f>IFERROR(VLOOKUP($F41,Data!$A:$D,3,FALSE),"")</f>
        <v>Katharine Hesse</v>
      </c>
      <c r="J41" s="5" t="s">
        <v>80</v>
      </c>
      <c r="K41" s="6" t="str">
        <f>IFERROR(VLOOKUP($J41,Data!$A:$D,4,FALSE),"")</f>
        <v>Biology &amp; Medicine</v>
      </c>
      <c r="L41" s="6" t="str">
        <f>IFERROR(VLOOKUP($J41,Data!$A:$D,2,FALSE),"")</f>
        <v>Mapping the transcriptional and phenotypic heterogeneity of lung adenocarcinoma progression</v>
      </c>
      <c r="M41" s="6" t="str">
        <f>IFERROR(VLOOKUP($J41,Data!$A:$D,3,FALSE),"")</f>
        <v>Prof. Manolis Kellis</v>
      </c>
    </row>
    <row r="42" spans="1:13" ht="26" x14ac:dyDescent="0.2">
      <c r="A42" s="4" t="s">
        <v>698</v>
      </c>
      <c r="B42" s="5" t="s">
        <v>81</v>
      </c>
      <c r="C42" s="6" t="str">
        <f>IFERROR(VLOOKUP($B42,Data!$A:$D,4,FALSE),"")</f>
        <v>Computer Science &amp; AI</v>
      </c>
      <c r="D42" s="6" t="str">
        <f>IFERROR(VLOOKUP($B42,Data!$A:$D,2,FALSE),"")</f>
        <v>TailSeeker: Optimizing Molecular Structure Generation for Fibrodysplasia Ossificans Progressiva</v>
      </c>
      <c r="E42" s="6" t="str">
        <f>IFERROR(VLOOKUP($B42,Data!$A:$D,3,FALSE),"")</f>
        <v>Prof. Gil Alterovitz</v>
      </c>
      <c r="F42" s="5" t="s">
        <v>82</v>
      </c>
      <c r="G42" s="6" t="str">
        <f>IFERROR(VLOOKUP($F42,Data!$A:$D,4,FALSE),"")</f>
        <v>Biology &amp; Medicine</v>
      </c>
      <c r="H42" s="6" t="str">
        <f>IFERROR(VLOOKUP($F42,Data!$A:$D,2,FALSE),"")</f>
        <v>Evaluating the Efficacy of RAP-Mediated Steric Hinderance on LRP-1 to Inhibit TcdB Endocytosis and Limit C. difficile Pathogenesis</v>
      </c>
      <c r="I42" s="6" t="str">
        <f>IFERROR(VLOOKUP($F42,Data!$A:$D,3,FALSE),"")</f>
        <v>Prof. Min Dong</v>
      </c>
      <c r="J42" s="5" t="s">
        <v>83</v>
      </c>
      <c r="K42" s="6" t="str">
        <f>IFERROR(VLOOKUP($J42,Data!$A:$D,4,FALSE),"")</f>
        <v>Chemistry &amp; Materials</v>
      </c>
      <c r="L42" s="6" t="str">
        <f>IFERROR(VLOOKUP($J42,Data!$A:$D,2,FALSE),"")</f>
        <v>Efficient Binding Free Energy Estimation through Conformational Sampling of Intermediate States</v>
      </c>
      <c r="M42" s="6" t="str">
        <f>IFERROR(VLOOKUP($J42,Data!$A:$D,3,FALSE),"")</f>
        <v>Prof. Manolis Kellis</v>
      </c>
    </row>
    <row r="43" spans="1:13" ht="26" x14ac:dyDescent="0.2">
      <c r="A43" s="4" t="s">
        <v>699</v>
      </c>
      <c r="B43" s="5" t="s">
        <v>84</v>
      </c>
      <c r="C43" s="6" t="str">
        <f>IFERROR(VLOOKUP($B43,Data!$A:$D,4,FALSE),"")</f>
        <v>Biology &amp; Medicine</v>
      </c>
      <c r="D43" s="6" t="str">
        <f>IFERROR(VLOOKUP($B43,Data!$A:$D,2,FALSE),"")</f>
        <v>Affine-Normalized Geometry of Protein Ensembles</v>
      </c>
      <c r="E43" s="6" t="str">
        <f>IFERROR(VLOOKUP($B43,Data!$A:$D,3,FALSE),"")</f>
        <v>Prof. Gil Alterovitz</v>
      </c>
      <c r="F43" s="5" t="s">
        <v>85</v>
      </c>
      <c r="G43" s="6" t="str">
        <f>IFERROR(VLOOKUP($F43,Data!$A:$D,4,FALSE),"")</f>
        <v>Engineering</v>
      </c>
      <c r="H43" s="6" t="str">
        <f>IFERROR(VLOOKUP($F43,Data!$A:$D,2,FALSE),"")</f>
        <v>Arsenic Leaching from Granular Activated Carbon Electrodes in Water Treatment</v>
      </c>
      <c r="I43" s="6" t="str">
        <f>IFERROR(VLOOKUP($F43,Data!$A:$D,3,FALSE),"")</f>
        <v>Dr. Muhammad Fahad Ehsan</v>
      </c>
      <c r="J43" s="5" t="s">
        <v>86</v>
      </c>
      <c r="K43" s="6" t="str">
        <f>IFERROR(VLOOKUP($J43,Data!$A:$D,4,FALSE),"")</f>
        <v>Biology &amp; Medicine</v>
      </c>
      <c r="L43" s="6" t="str">
        <f>IFERROR(VLOOKUP($J43,Data!$A:$D,2,FALSE),"")</f>
        <v>Single-Nucleus Dissection of Nine Alzheimer's Disease Comorbidities</v>
      </c>
      <c r="M43" s="6" t="str">
        <f>IFERROR(VLOOKUP($J43,Data!$A:$D,3,FALSE),"")</f>
        <v>Prof. Manolis Kellis</v>
      </c>
    </row>
    <row r="44" spans="1:13" ht="39" x14ac:dyDescent="0.2">
      <c r="A44" s="4" t="s">
        <v>700</v>
      </c>
      <c r="B44" s="5" t="s">
        <v>87</v>
      </c>
      <c r="C44" s="6" t="str">
        <f>IFERROR(VLOOKUP($B44,Data!$A:$D,4,FALSE),"")</f>
        <v>Math</v>
      </c>
      <c r="D44" s="6" t="str">
        <f>IFERROR(VLOOKUP($B44,Data!$A:$D,2,FALSE),"")</f>
        <v>DC-MTNN: A Drug-Conditioned Multi-Task Neural Network for Predicting Drug Resistance in Mycobacterium tuberculosis Using Genomic Data</v>
      </c>
      <c r="E44" s="6" t="str">
        <f>IFERROR(VLOOKUP($B44,Data!$A:$D,3,FALSE),"")</f>
        <v>Prof. Gil Alterovitz</v>
      </c>
      <c r="F44" s="5" t="s">
        <v>88</v>
      </c>
      <c r="G44" s="6" t="str">
        <f>IFERROR(VLOOKUP($F44,Data!$A:$D,4,FALSE),"")</f>
        <v>Biology &amp; Medicine</v>
      </c>
      <c r="H44" s="6" t="str">
        <f>IFERROR(VLOOKUP($F44,Data!$A:$D,2,FALSE),"")</f>
        <v>Analyzing the Correlation of SBayesRC Calculated Weights for Polygenic Risk Scores and Body Mass Index</v>
      </c>
      <c r="I44" s="6" t="str">
        <f>IFERROR(VLOOKUP($F44,Data!$A:$D,3,FALSE),"")</f>
        <v>Dr. Buu Truong</v>
      </c>
      <c r="J44" s="5" t="s">
        <v>89</v>
      </c>
      <c r="K44" s="6" t="str">
        <f>IFERROR(VLOOKUP($J44,Data!$A:$D,4,FALSE),"")</f>
        <v>Computer Science &amp; AI</v>
      </c>
      <c r="L44" s="6" t="str">
        <f>IFERROR(VLOOKUP($J44,Data!$A:$D,2,FALSE),"")</f>
        <v>Towards Scaling Laws For Long-Horizon Software Engineering Agents</v>
      </c>
      <c r="M44" s="6" t="str">
        <f>IFERROR(VLOOKUP($J44,Data!$A:$D,3,FALSE),"")</f>
        <v>Prof. Manolis Kellis</v>
      </c>
    </row>
    <row r="47" spans="1:13" ht="17" customHeight="1" x14ac:dyDescent="0.2">
      <c r="A47" s="14" t="s">
        <v>90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">
      <c r="A48" s="11" t="s">
        <v>91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1:13" x14ac:dyDescent="0.2">
      <c r="A49" s="2" t="s">
        <v>4</v>
      </c>
      <c r="B49" s="10" t="s">
        <v>5</v>
      </c>
      <c r="C49" s="9"/>
      <c r="D49" s="9"/>
      <c r="E49" s="9"/>
      <c r="F49" s="10" t="s">
        <v>6</v>
      </c>
      <c r="G49" s="9"/>
      <c r="H49" s="9"/>
      <c r="I49" s="9"/>
      <c r="J49" s="10" t="s">
        <v>7</v>
      </c>
      <c r="K49" s="9"/>
      <c r="L49" s="9"/>
      <c r="M49" s="9"/>
    </row>
    <row r="50" spans="1:13" x14ac:dyDescent="0.2">
      <c r="B50" s="3" t="s">
        <v>8</v>
      </c>
      <c r="C50" s="3" t="s">
        <v>9</v>
      </c>
      <c r="D50" s="3" t="s">
        <v>10</v>
      </c>
      <c r="E50" s="3" t="s">
        <v>11</v>
      </c>
      <c r="F50" s="3" t="s">
        <v>8</v>
      </c>
      <c r="G50" s="3" t="s">
        <v>9</v>
      </c>
      <c r="H50" s="3" t="s">
        <v>10</v>
      </c>
      <c r="I50" s="3" t="s">
        <v>11</v>
      </c>
      <c r="J50" s="3" t="s">
        <v>8</v>
      </c>
      <c r="K50" s="3" t="s">
        <v>9</v>
      </c>
      <c r="L50" s="3" t="s">
        <v>10</v>
      </c>
      <c r="M50" s="3" t="s">
        <v>11</v>
      </c>
    </row>
    <row r="51" spans="1:13" ht="26" customHeight="1" x14ac:dyDescent="0.2">
      <c r="A51" s="4" t="s">
        <v>676</v>
      </c>
      <c r="B51" s="5" t="s">
        <v>92</v>
      </c>
      <c r="C51" s="6" t="str">
        <f>IFERROR(VLOOKUP($B51,Data!$A:$D,4,FALSE),"")</f>
        <v>Economics &amp; Policy</v>
      </c>
      <c r="D51" s="6" t="str">
        <f>IFERROR(VLOOKUP($B51,Data!$A:$D,2,FALSE),"")</f>
        <v>The Effect of Mergers on the Generic Drug Market</v>
      </c>
      <c r="E51" s="6" t="str">
        <f>IFERROR(VLOOKUP($B51,Data!$A:$D,3,FALSE),"")</f>
        <v>Dr. Aaron Kesselheim</v>
      </c>
      <c r="F51" s="5" t="s">
        <v>93</v>
      </c>
      <c r="G51" s="6" t="str">
        <f>IFERROR(VLOOKUP($F51,Data!$A:$D,4,FALSE),"")</f>
        <v>Biology &amp; Medicine</v>
      </c>
      <c r="H51" s="6" t="str">
        <f>IFERROR(VLOOKUP($F51,Data!$A:$D,2,FALSE),"")</f>
        <v>Optimization of a Yeast-Based High-Throughput Screening Platform to Detect Small-Molecule Modulators of PfPDE𝛄  for Antimalarial Drug Discovery</v>
      </c>
      <c r="I51" s="6" t="str">
        <f>IFERROR(VLOOKUP($F51,Data!$A:$D,3,FALSE),"")</f>
        <v>Prof. Charles Hoffman</v>
      </c>
      <c r="J51" s="5" t="s">
        <v>94</v>
      </c>
      <c r="K51" s="6" t="str">
        <f>IFERROR(VLOOKUP($J51,Data!$A:$D,4,FALSE),"")</f>
        <v>Computer Science &amp; AI</v>
      </c>
      <c r="L51" s="6" t="str">
        <f>IFERROR(VLOOKUP($J51,Data!$A:$D,2,FALSE),"")</f>
        <v>The Talking Risk Calculator: An Agentic Pipeline for Multi-Factor Cancer Risk Assessment</v>
      </c>
      <c r="M51" s="6" t="str">
        <f>IFERROR(VLOOKUP($J51,Data!$A:$D,3,FALSE),"")</f>
        <v>Dr. Cong Liu, Dr. Kamalakkannan Ravi</v>
      </c>
    </row>
    <row r="52" spans="1:13" ht="26" customHeight="1" x14ac:dyDescent="0.2">
      <c r="A52" s="4" t="s">
        <v>677</v>
      </c>
      <c r="B52" s="5" t="s">
        <v>95</v>
      </c>
      <c r="C52" s="6" t="str">
        <f>IFERROR(VLOOKUP($B52,Data!$A:$D,4,FALSE),"")</f>
        <v>Chemistry &amp; Materials</v>
      </c>
      <c r="D52" s="6" t="str">
        <f>IFERROR(VLOOKUP($B52,Data!$A:$D,2,FALSE),"")</f>
        <v>Predicting Peptide Self-Assembly Phase from LLM Extracted Experimental Conditions</v>
      </c>
      <c r="E52" s="6" t="str">
        <f>IFERROR(VLOOKUP($B52,Data!$A:$D,3,FALSE),"")</f>
        <v>Prof. Markus Buehler</v>
      </c>
      <c r="F52" s="5" t="s">
        <v>96</v>
      </c>
      <c r="G52" s="6" t="str">
        <f>IFERROR(VLOOKUP($F52,Data!$A:$D,4,FALSE),"")</f>
        <v>Biology &amp; Medicine</v>
      </c>
      <c r="H52" s="6" t="str">
        <f>IFERROR(VLOOKUP($F52,Data!$A:$D,2,FALSE),"")</f>
        <v>A Fission Yeast High-Throughput Screen Identifies Candidate Small-Molecule Inhibitors of Plasmodium falciparum PDEα</v>
      </c>
      <c r="I52" s="6" t="str">
        <f>IFERROR(VLOOKUP($F52,Data!$A:$D,3,FALSE),"")</f>
        <v>Prof. Charles Hoffman</v>
      </c>
      <c r="J52" s="5" t="s">
        <v>97</v>
      </c>
      <c r="K52" s="6" t="str">
        <f>IFERROR(VLOOKUP($J52,Data!$A:$D,4,FALSE),"")</f>
        <v>Computer Science &amp; AI</v>
      </c>
      <c r="L52" s="6" t="str">
        <f>IFERROR(VLOOKUP($J52,Data!$A:$D,2,FALSE),"")</f>
        <v>AutoOnboarding Agentic LLMs</v>
      </c>
      <c r="M52" s="6" t="str">
        <f>IFERROR(VLOOKUP($J52,Data!$A:$D,3,FALSE),"")</f>
        <v>Dr. Cong Liu, Dr. Kamalakkannan Ravi</v>
      </c>
    </row>
    <row r="53" spans="1:13" ht="39" customHeight="1" x14ac:dyDescent="0.2">
      <c r="A53" s="4" t="s">
        <v>678</v>
      </c>
      <c r="B53" s="5" t="s">
        <v>98</v>
      </c>
      <c r="C53" s="6" t="str">
        <f>IFERROR(VLOOKUP($B53,Data!$A:$D,4,FALSE),"")</f>
        <v>Chemistry &amp; Materials</v>
      </c>
      <c r="D53" s="6" t="str">
        <f>IFERROR(VLOOKUP($B53,Data!$A:$D,2,FALSE),"")</f>
        <v>The Grammar of Natural Systems: Compositional Material Design Across Scales</v>
      </c>
      <c r="E53" s="6" t="str">
        <f>IFERROR(VLOOKUP($B53,Data!$A:$D,3,FALSE),"")</f>
        <v>Prof. Markus Buehler</v>
      </c>
      <c r="F53" s="5" t="s">
        <v>99</v>
      </c>
      <c r="G53" s="6" t="str">
        <f>IFERROR(VLOOKUP($F53,Data!$A:$D,4,FALSE),"")</f>
        <v>Biology &amp; Medicine</v>
      </c>
      <c r="H53" s="6" t="str">
        <f>IFERROR(VLOOKUP($F53,Data!$A:$D,2,FALSE),"")</f>
        <v>Interactions of lipid droplets and Them1-containing condensates to regulate metabolism</v>
      </c>
      <c r="I53" s="6" t="str">
        <f>IFERROR(VLOOKUP($F53,Data!$A:$D,3,FALSE),"")</f>
        <v>Prof. Susan Hagen, Dr. Xu Xu</v>
      </c>
      <c r="J53" s="5" t="s">
        <v>100</v>
      </c>
      <c r="K53" s="6" t="str">
        <f>IFERROR(VLOOKUP($J53,Data!$A:$D,4,FALSE),"")</f>
        <v>Biology &amp; Medicine</v>
      </c>
      <c r="L53" s="6" t="str">
        <f>IFERROR(VLOOKUP($J53,Data!$A:$D,2,FALSE),"")</f>
        <v>Diffusion and Retention of Drug Carriers and Fluorescent Tag Molecules Through Cartilage Tissue for Applications to Osteoarthritis Therapeutics</v>
      </c>
      <c r="M53" s="6" t="str">
        <f>IFERROR(VLOOKUP($J53,Data!$A:$D,3,FALSE),"")</f>
        <v>Prof. Ambika Bajpayee</v>
      </c>
    </row>
    <row r="54" spans="1:13" ht="26" customHeight="1" x14ac:dyDescent="0.2">
      <c r="A54" s="4" t="s">
        <v>679</v>
      </c>
      <c r="B54" s="5" t="s">
        <v>101</v>
      </c>
      <c r="C54" s="6" t="str">
        <f>IFERROR(VLOOKUP($B54,Data!$A:$D,4,FALSE),"")</f>
        <v>Physics</v>
      </c>
      <c r="D54" s="6" t="str">
        <f>IFERROR(VLOOKUP($B54,Data!$A:$D,2,FALSE),"")</f>
        <v>Observing Landau Levels in Simulated Strained Graphene</v>
      </c>
      <c r="E54" s="6" t="str">
        <f>IFERROR(VLOOKUP($B54,Data!$A:$D,3,FALSE),"")</f>
        <v>Prof. Jenny Hoffman</v>
      </c>
      <c r="F54" s="5" t="s">
        <v>102</v>
      </c>
      <c r="G54" s="6" t="str">
        <f>IFERROR(VLOOKUP($F54,Data!$A:$D,4,FALSE),"")</f>
        <v>Biology &amp; Medicine</v>
      </c>
      <c r="H54" s="6" t="str">
        <f>IFERROR(VLOOKUP($F54,Data!$A:$D,2,FALSE),"")</f>
        <v>The Role of Them1 in Metabolic Gene Regulation</v>
      </c>
      <c r="I54" s="6" t="str">
        <f>IFERROR(VLOOKUP($F54,Data!$A:$D,3,FALSE),"")</f>
        <v>Prof. Susan Hagen, Dr. Xu Xu</v>
      </c>
      <c r="J54" s="5" t="s">
        <v>103</v>
      </c>
      <c r="K54" s="6" t="str">
        <f>IFERROR(VLOOKUP($J54,Data!$A:$D,4,FALSE),"")</f>
        <v>Biology &amp; Medicine</v>
      </c>
      <c r="L54" s="6" t="str">
        <f>IFERROR(VLOOKUP($J54,Data!$A:$D,2,FALSE),"")</f>
        <v>Strategic Use of the KR Alpha Synuclein Mutant (G14R + E46K) to Develop Experimental Models of Parkinson's Disease</v>
      </c>
      <c r="M54" s="6" t="str">
        <f>IFERROR(VLOOKUP($J54,Data!$A:$D,3,FALSE),"")</f>
        <v>Prof. Ulf Dettmer</v>
      </c>
    </row>
    <row r="55" spans="1:13" ht="26" customHeight="1" x14ac:dyDescent="0.2">
      <c r="A55" s="4" t="s">
        <v>687</v>
      </c>
      <c r="B55" s="5" t="s">
        <v>104</v>
      </c>
      <c r="C55" s="6" t="str">
        <f>IFERROR(VLOOKUP($B55,Data!$A:$D,4,FALSE),"")</f>
        <v>Physics</v>
      </c>
      <c r="D55" s="6" t="str">
        <f>IFERROR(VLOOKUP($B55,Data!$A:$D,2,FALSE),"")</f>
        <v>Vibration Mitigation for Atomic-Resolution Imaging in Scanning Four-Probe Microscopy</v>
      </c>
      <c r="E55" s="6" t="str">
        <f>IFERROR(VLOOKUP($B55,Data!$A:$D,3,FALSE),"")</f>
        <v>Prof. Jenny Hoffman</v>
      </c>
      <c r="F55" s="5" t="s">
        <v>105</v>
      </c>
      <c r="G55" s="6" t="str">
        <f>IFERROR(VLOOKUP($F55,Data!$A:$D,4,FALSE),"")</f>
        <v>Engineering</v>
      </c>
      <c r="H55" s="6" t="str">
        <f>IFERROR(VLOOKUP($F55,Data!$A:$D,2,FALSE),"")</f>
        <v>Effects of material and surface chemistry in heat exchanger</v>
      </c>
      <c r="I55" s="6" t="str">
        <f>IFERROR(VLOOKUP($F55,Data!$A:$D,3,FALSE),"")</f>
        <v>Prof. Koroush Shirvan</v>
      </c>
      <c r="J55" s="5" t="s">
        <v>106</v>
      </c>
      <c r="K55" s="6" t="str">
        <f>IFERROR(VLOOKUP($J55,Data!$A:$D,4,FALSE),"")</f>
        <v>Biology &amp; Medicine</v>
      </c>
      <c r="L55" s="6" t="str">
        <f>IFERROR(VLOOKUP($J55,Data!$A:$D,2,FALSE),"")</f>
        <v>Understanding the Rules of Gene Perturbation Responses</v>
      </c>
      <c r="M55" s="6" t="str">
        <f>IFERROR(VLOOKUP($J55,Data!$A:$D,3,FALSE),"")</f>
        <v>Dr. Sumaiya Nazeen</v>
      </c>
    </row>
    <row r="56" spans="1:13" ht="39" customHeight="1" x14ac:dyDescent="0.2">
      <c r="A56" s="4" t="s">
        <v>688</v>
      </c>
      <c r="B56" s="5" t="s">
        <v>107</v>
      </c>
      <c r="C56" s="6" t="str">
        <f>IFERROR(VLOOKUP($B56,Data!$A:$D,4,FALSE),"")</f>
        <v>Biology &amp; Medicine</v>
      </c>
      <c r="D56" s="6" t="str">
        <f>IFERROR(VLOOKUP($B56,Data!$A:$D,2,FALSE),"")</f>
        <v>Development of a novel assay to measure radiation sensitivity of tumor cells</v>
      </c>
      <c r="E56" s="6" t="str">
        <f>IFERROR(VLOOKUP($B56,Data!$A:$D,3,FALSE),"")</f>
        <v>Dr. David T. Miyamoto</v>
      </c>
      <c r="F56" s="5" t="s">
        <v>108</v>
      </c>
      <c r="G56" s="6" t="str">
        <f>IFERROR(VLOOKUP($F56,Data!$A:$D,4,FALSE),"")</f>
        <v>Biology &amp; Medicine</v>
      </c>
      <c r="H56" s="6" t="str">
        <f>IFERROR(VLOOKUP($F56,Data!$A:$D,2,FALSE),"")</f>
        <v>Mapping Myo-15 Cre Activity in Cochleae to Validate Disease Models for​ Usher Syndrome Type 1F Gene Therapy</v>
      </c>
      <c r="I56" s="6" t="str">
        <f>IFERROR(VLOOKUP($F56,Data!$A:$D,3,FALSE),"")</f>
        <v>Dr. Artur A. Indzhykulian</v>
      </c>
      <c r="J56" s="5" t="s">
        <v>109</v>
      </c>
      <c r="K56" s="6" t="str">
        <f>IFERROR(VLOOKUP($J56,Data!$A:$D,4,FALSE),"")</f>
        <v>Neuroscience &amp; Psychology</v>
      </c>
      <c r="L56" s="6" t="str">
        <f>IFERROR(VLOOKUP($J56,Data!$A:$D,2,FALSE),"")</f>
        <v>Forecasting Seizure Spread in Epilepsy Patients Using Deep Learning Models of Electroencephalographic Activity</v>
      </c>
      <c r="M56" s="6" t="str">
        <f>IFERROR(VLOOKUP($J56,Data!$A:$D,3,FALSE),"")</f>
        <v>Vighnesh Subramaniam</v>
      </c>
    </row>
    <row r="57" spans="1:13" x14ac:dyDescent="0.2">
      <c r="A57" s="12" t="s">
        <v>30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1:13" x14ac:dyDescent="0.2">
      <c r="A58" s="11" t="s">
        <v>110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x14ac:dyDescent="0.2">
      <c r="A59" s="2" t="s">
        <v>4</v>
      </c>
      <c r="B59" s="10" t="s">
        <v>5</v>
      </c>
      <c r="C59" s="9"/>
      <c r="D59" s="9"/>
      <c r="E59" s="9"/>
      <c r="F59" s="10" t="s">
        <v>6</v>
      </c>
      <c r="G59" s="9"/>
      <c r="H59" s="9"/>
      <c r="I59" s="9"/>
      <c r="J59" s="10" t="s">
        <v>7</v>
      </c>
      <c r="K59" s="9"/>
      <c r="L59" s="9"/>
      <c r="M59" s="9"/>
    </row>
    <row r="60" spans="1:13" x14ac:dyDescent="0.2"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11</v>
      </c>
      <c r="J60" s="3" t="s">
        <v>8</v>
      </c>
      <c r="K60" s="3" t="s">
        <v>9</v>
      </c>
      <c r="L60" s="3" t="s">
        <v>10</v>
      </c>
      <c r="M60" s="3" t="s">
        <v>11</v>
      </c>
    </row>
    <row r="61" spans="1:13" ht="26" customHeight="1" x14ac:dyDescent="0.2">
      <c r="A61" s="4" t="s">
        <v>680</v>
      </c>
      <c r="B61" s="5" t="s">
        <v>111</v>
      </c>
      <c r="C61" s="6" t="str">
        <f>IFERROR(VLOOKUP($B61,Data!$A:$D,4,FALSE),"")</f>
        <v>Biology &amp; Medicine</v>
      </c>
      <c r="D61" s="6" t="str">
        <f>IFERROR(VLOOKUP($B61,Data!$A:$D,2,FALSE),"")</f>
        <v>Reference-Anchored Computational Design of Domain-Preserving ASXL3 Minigenes for AAV Gene Therapy in Bainbridge-Ropers Syndrome</v>
      </c>
      <c r="E61" s="6" t="str">
        <f>IFERROR(VLOOKUP($B61,Data!$A:$D,3,FALSE),"")</f>
        <v>Prof. Fengfeng Bei</v>
      </c>
      <c r="F61" s="5" t="s">
        <v>112</v>
      </c>
      <c r="G61" s="6" t="str">
        <f>IFERROR(VLOOKUP($F61,Data!$A:$D,4,FALSE),"")</f>
        <v>Chemistry &amp; Materials</v>
      </c>
      <c r="H61" s="6" t="str">
        <f>IFERROR(VLOOKUP($F61,Data!$A:$D,2,FALSE),"")</f>
        <v>Reproducing the Energy Landscape of Nanoparticle-Induced Lipid Membrane Deformation</v>
      </c>
      <c r="I61" s="6" t="str">
        <f>IFERROR(VLOOKUP($F61,Data!$A:$D,3,FALSE),"")</f>
        <v>Prof. Maggie Qi, Shu Yang</v>
      </c>
      <c r="J61" s="5" t="s">
        <v>113</v>
      </c>
      <c r="K61" s="6" t="str">
        <f>IFERROR(VLOOKUP($J61,Data!$A:$D,4,FALSE),"")</f>
        <v>Physics</v>
      </c>
      <c r="L61" s="6" t="str">
        <f>IFERROR(VLOOKUP($J61,Data!$A:$D,2,FALSE),"")</f>
        <v>Sinusoidal Representation Networks for Neural Renormalization-Group Flows on the1D and 2D Ising Models</v>
      </c>
      <c r="M61" s="6" t="str">
        <f>IFERROR(VLOOKUP($J61,Data!$A:$D,3,FALSE),"")</f>
        <v>Prof. Peter Lu, Oreoluwa Alao</v>
      </c>
    </row>
    <row r="62" spans="1:13" ht="26" customHeight="1" x14ac:dyDescent="0.2">
      <c r="A62" s="4" t="s">
        <v>681</v>
      </c>
      <c r="B62" s="5" t="s">
        <v>114</v>
      </c>
      <c r="C62" s="6" t="str">
        <f>IFERROR(VLOOKUP($B62,Data!$A:$D,4,FALSE),"")</f>
        <v>Biology &amp; Medicine</v>
      </c>
      <c r="D62" s="6" t="str">
        <f>IFERROR(VLOOKUP($B62,Data!$A:$D,2,FALSE),"")</f>
        <v>Immunological Modeling of Anti-Idiotypic Network Dynamics to Explain Neonatal Tolerance and Adult Responsiveness</v>
      </c>
      <c r="E62" s="6" t="str">
        <f>IFERROR(VLOOKUP($B62,Data!$A:$D,3,FALSE),"")</f>
        <v>Prof. James Michaelson</v>
      </c>
      <c r="F62" s="5" t="s">
        <v>115</v>
      </c>
      <c r="G62" s="6" t="str">
        <f>IFERROR(VLOOKUP($F62,Data!$A:$D,4,FALSE),"")</f>
        <v>Chemistry &amp; Materials</v>
      </c>
      <c r="H62" s="6" t="str">
        <f>IFERROR(VLOOKUP($F62,Data!$A:$D,2,FALSE),"")</f>
        <v>Understanding the Influence of Receptor Transport on Nanoparticle-Cell-Membrane Interactions</v>
      </c>
      <c r="I62" s="6" t="str">
        <f>IFERROR(VLOOKUP($F62,Data!$A:$D,3,FALSE),"")</f>
        <v>Prof. Maggie Qi, Shu Yang</v>
      </c>
      <c r="J62" s="5" t="s">
        <v>116</v>
      </c>
      <c r="K62" s="6" t="str">
        <f>IFERROR(VLOOKUP($J62,Data!$A:$D,4,FALSE),"")</f>
        <v>Physics</v>
      </c>
      <c r="L62" s="6" t="str">
        <f>IFERROR(VLOOKUP($J62,Data!$A:$D,2,FALSE),"")</f>
        <v>S-Flow: Harnessing Informed Sampling for Flow Models in Perturbation-Aware Quantum State Tomography</v>
      </c>
      <c r="M62" s="6" t="str">
        <f>IFERROR(VLOOKUP($J62,Data!$A:$D,3,FALSE),"")</f>
        <v>Prof. Peter Lu, Mateusz Zubrzycki</v>
      </c>
    </row>
    <row r="63" spans="1:13" ht="26" customHeight="1" x14ac:dyDescent="0.2">
      <c r="A63" s="4" t="s">
        <v>682</v>
      </c>
      <c r="B63" s="5" t="s">
        <v>117</v>
      </c>
      <c r="C63" s="6" t="str">
        <f>IFERROR(VLOOKUP($B63,Data!$A:$D,4,FALSE),"")</f>
        <v>Biology &amp; Medicine</v>
      </c>
      <c r="D63" s="6" t="str">
        <f>IFERROR(VLOOKUP($B63,Data!$A:$D,2,FALSE),"")</f>
        <v>The Mitotic Basis of the Human Mind</v>
      </c>
      <c r="E63" s="6" t="str">
        <f>IFERROR(VLOOKUP($B63,Data!$A:$D,3,FALSE),"")</f>
        <v>Prof. James Michaelson</v>
      </c>
      <c r="F63" s="5" t="s">
        <v>118</v>
      </c>
      <c r="G63" s="6" t="str">
        <f>IFERROR(VLOOKUP($F63,Data!$A:$D,4,FALSE),"")</f>
        <v>Neuroscience &amp; Psychology</v>
      </c>
      <c r="H63" s="6" t="str">
        <f>IFERROR(VLOOKUP($F63,Data!$A:$D,2,FALSE),"")</f>
        <v>Evaluating Dyadic Foraging Optimization Through the Marginal Value Theorem</v>
      </c>
      <c r="I63" s="6" t="str">
        <f>IFERROR(VLOOKUP($F63,Data!$A:$D,3,FALSE),"")</f>
        <v>Prof. Jeremy Wolfe</v>
      </c>
      <c r="J63" s="5"/>
      <c r="K63" s="6" t="str">
        <f>IFERROR(VLOOKUP($J63,Data!$A:$D,4,FALSE),"")</f>
        <v/>
      </c>
      <c r="L63" s="6" t="str">
        <f>IFERROR(VLOOKUP($J63,Data!$A:$D,2,FALSE),"")</f>
        <v/>
      </c>
      <c r="M63" s="6" t="str">
        <f>IFERROR(VLOOKUP($J63,Data!$A:$D,3,FALSE),"")</f>
        <v/>
      </c>
    </row>
    <row r="64" spans="1:13" ht="26" customHeight="1" x14ac:dyDescent="0.2">
      <c r="A64" s="4" t="s">
        <v>683</v>
      </c>
      <c r="B64" s="5" t="s">
        <v>119</v>
      </c>
      <c r="C64" s="6" t="str">
        <f>IFERROR(VLOOKUP($B64,Data!$A:$D,4,FALSE),"")</f>
        <v>Biology &amp; Medicine</v>
      </c>
      <c r="D64" s="6" t="str">
        <f>IFERROR(VLOOKUP($B64,Data!$A:$D,2,FALSE),"")</f>
        <v>Investigating the Role of Alternative Polyadenylation in Obesity-Induced Cardiac Endothelial Inflammation</v>
      </c>
      <c r="E64" s="6" t="str">
        <f>IFERROR(VLOOKUP($B64,Data!$A:$D,3,FALSE),"")</f>
        <v>Dr. Basak Icli</v>
      </c>
      <c r="F64" s="5" t="s">
        <v>120</v>
      </c>
      <c r="G64" s="6" t="str">
        <f>IFERROR(VLOOKUP($F64,Data!$A:$D,4,FALSE),"")</f>
        <v>Neuroscience &amp; Psychology</v>
      </c>
      <c r="H64" s="6" t="str">
        <f>IFERROR(VLOOKUP($F64,Data!$A:$D,2,FALSE),"")</f>
        <v>Frog Search: A New Way to Measure Guidance by Color in Visual Search</v>
      </c>
      <c r="I64" s="6" t="str">
        <f>IFERROR(VLOOKUP($F64,Data!$A:$D,3,FALSE),"")</f>
        <v>Prof. Jeremy Wolfe</v>
      </c>
      <c r="J64" s="5"/>
      <c r="K64" s="6" t="str">
        <f>IFERROR(VLOOKUP($J64,Data!$A:$D,4,FALSE),"")</f>
        <v/>
      </c>
      <c r="L64" s="6" t="str">
        <f>IFERROR(VLOOKUP($J64,Data!$A:$D,2,FALSE),"")</f>
        <v/>
      </c>
      <c r="M64" s="6" t="str">
        <f>IFERROR(VLOOKUP($J64,Data!$A:$D,3,FALSE),"")</f>
        <v/>
      </c>
    </row>
  </sheetData>
  <mergeCells count="32">
    <mergeCell ref="A5:M5"/>
    <mergeCell ref="A35:M35"/>
    <mergeCell ref="F37:I37"/>
    <mergeCell ref="F49:I49"/>
    <mergeCell ref="J17:M17"/>
    <mergeCell ref="A58:M58"/>
    <mergeCell ref="A48:M48"/>
    <mergeCell ref="B7:E7"/>
    <mergeCell ref="B59:E59"/>
    <mergeCell ref="A15:M15"/>
    <mergeCell ref="J37:M37"/>
    <mergeCell ref="J59:M59"/>
    <mergeCell ref="A36:M36"/>
    <mergeCell ref="B27:E27"/>
    <mergeCell ref="F27:I27"/>
    <mergeCell ref="B49:E49"/>
    <mergeCell ref="A1:M1"/>
    <mergeCell ref="F7:I7"/>
    <mergeCell ref="A6:M6"/>
    <mergeCell ref="F59:I59"/>
    <mergeCell ref="A25:M25"/>
    <mergeCell ref="A16:M16"/>
    <mergeCell ref="J7:M7"/>
    <mergeCell ref="J49:M49"/>
    <mergeCell ref="J27:M27"/>
    <mergeCell ref="B17:E17"/>
    <mergeCell ref="F17:I17"/>
    <mergeCell ref="A26:M26"/>
    <mergeCell ref="B37:E37"/>
    <mergeCell ref="A57:M57"/>
    <mergeCell ref="A2:M2"/>
    <mergeCell ref="A47:M47"/>
  </mergeCells>
  <conditionalFormatting sqref="C4:C71">
    <cfRule type="cellIs" dxfId="32" priority="13" operator="equal">
      <formula>"Engineering"</formula>
    </cfRule>
    <cfRule type="cellIs" dxfId="31" priority="31" operator="equal">
      <formula>"Other"</formula>
    </cfRule>
    <cfRule type="cellIs" dxfId="30" priority="28" operator="equal">
      <formula>"Economics &amp; Policy"</formula>
    </cfRule>
    <cfRule type="cellIs" dxfId="29" priority="4" operator="equal">
      <formula>"Physics"</formula>
    </cfRule>
    <cfRule type="cellIs" dxfId="28" priority="25" operator="equal">
      <formula>"Earth, Ocean &amp; Climate"</formula>
    </cfRule>
    <cfRule type="cellIs" dxfId="27" priority="22" operator="equal">
      <formula>"Neuroscience &amp; Psychology"</formula>
    </cfRule>
    <cfRule type="cellIs" dxfId="26" priority="7" operator="equal">
      <formula>"Astronomy &amp; Planetary Science"</formula>
    </cfRule>
    <cfRule type="cellIs" dxfId="25" priority="19" operator="equal">
      <formula>"Biology &amp; Medicine"</formula>
    </cfRule>
    <cfRule type="cellIs" dxfId="24" priority="1" operator="equal">
      <formula>"Math"</formula>
    </cfRule>
    <cfRule type="cellIs" dxfId="23" priority="10" operator="equal">
      <formula>"Computer Science &amp; AI"</formula>
    </cfRule>
    <cfRule type="cellIs" dxfId="22" priority="16" operator="equal">
      <formula>"Chemistry &amp; Materials"</formula>
    </cfRule>
  </conditionalFormatting>
  <conditionalFormatting sqref="G4:G71">
    <cfRule type="cellIs" dxfId="21" priority="17" operator="equal">
      <formula>"Chemistry &amp; Materials"</formula>
    </cfRule>
    <cfRule type="cellIs" dxfId="20" priority="14" operator="equal">
      <formula>"Engineering"</formula>
    </cfRule>
    <cfRule type="cellIs" dxfId="19" priority="11" operator="equal">
      <formula>"Computer Science &amp; AI"</formula>
    </cfRule>
    <cfRule type="cellIs" dxfId="18" priority="8" operator="equal">
      <formula>"Astronomy &amp; Planetary Science"</formula>
    </cfRule>
    <cfRule type="cellIs" dxfId="17" priority="20" operator="equal">
      <formula>"Biology &amp; Medicine"</formula>
    </cfRule>
    <cfRule type="cellIs" dxfId="16" priority="23" operator="equal">
      <formula>"Neuroscience &amp; Psychology"</formula>
    </cfRule>
    <cfRule type="cellIs" dxfId="15" priority="5" operator="equal">
      <formula>"Physics"</formula>
    </cfRule>
    <cfRule type="cellIs" dxfId="14" priority="26" operator="equal">
      <formula>"Earth, Ocean &amp; Climate"</formula>
    </cfRule>
    <cfRule type="cellIs" dxfId="13" priority="29" operator="equal">
      <formula>"Economics &amp; Policy"</formula>
    </cfRule>
    <cfRule type="cellIs" dxfId="12" priority="2" operator="equal">
      <formula>"Math"</formula>
    </cfRule>
    <cfRule type="cellIs" dxfId="11" priority="32" operator="equal">
      <formula>"Other"</formula>
    </cfRule>
  </conditionalFormatting>
  <conditionalFormatting sqref="K4:K71">
    <cfRule type="cellIs" dxfId="10" priority="12" operator="equal">
      <formula>"Computer Science &amp; AI"</formula>
    </cfRule>
    <cfRule type="cellIs" dxfId="9" priority="15" operator="equal">
      <formula>"Engineering"</formula>
    </cfRule>
    <cfRule type="cellIs" dxfId="8" priority="9" operator="equal">
      <formula>"Astronomy &amp; Planetary Science"</formula>
    </cfRule>
    <cfRule type="cellIs" dxfId="7" priority="18" operator="equal">
      <formula>"Chemistry &amp; Materials"</formula>
    </cfRule>
    <cfRule type="cellIs" dxfId="6" priority="21" operator="equal">
      <formula>"Biology &amp; Medicine"</formula>
    </cfRule>
    <cfRule type="cellIs" dxfId="5" priority="6" operator="equal">
      <formula>"Physics"</formula>
    </cfRule>
    <cfRule type="cellIs" dxfId="4" priority="24" operator="equal">
      <formula>"Neuroscience &amp; Psychology"</formula>
    </cfRule>
    <cfRule type="cellIs" dxfId="3" priority="27" operator="equal">
      <formula>"Earth, Ocean &amp; Climate"</formula>
    </cfRule>
    <cfRule type="cellIs" dxfId="2" priority="3" operator="equal">
      <formula>"Math"</formula>
    </cfRule>
    <cfRule type="cellIs" dxfId="1" priority="30" operator="equal">
      <formula>"Economics &amp; Policy"</formula>
    </cfRule>
    <cfRule type="cellIs" dxfId="0" priority="33" operator="equal">
      <formula>"Other"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Lim</cp:lastModifiedBy>
  <dcterms:created xsi:type="dcterms:W3CDTF">2026-08-01T01:08:54Z</dcterms:created>
  <dcterms:modified xsi:type="dcterms:W3CDTF">2026-08-06T03:35:01Z</dcterms:modified>
</cp:coreProperties>
</file>